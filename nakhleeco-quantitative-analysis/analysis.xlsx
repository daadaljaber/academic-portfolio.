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8_{5085A778-FA77-4B42-941C-FA28F07BBD73}" xr6:coauthVersionLast="47" xr6:coauthVersionMax="47" xr10:uidLastSave="{00000000-0000-0000-0000-000000000000}"/>
  <bookViews>
    <workbookView xWindow="0" yWindow="660" windowWidth="23260" windowHeight="12460" tabRatio="500" activeTab="7" xr2:uid="{00000000-000D-0000-FFFF-FFFF00000000}"/>
  </bookViews>
  <sheets>
    <sheet name="Overview" sheetId="1" r:id="rId1"/>
    <sheet name="Raw Data" sheetId="2" r:id="rId2"/>
    <sheet name="Break-Even" sheetId="3" r:id="rId3"/>
    <sheet name="Regression_output" sheetId="11" r:id="rId4"/>
    <sheet name="Regression" sheetId="4" r:id="rId5"/>
    <sheet name="Forecasting" sheetId="5" r:id="rId6"/>
    <sheet name="Sensitivity Report " sheetId="12" r:id="rId7"/>
    <sheet name="LP Model" sheetId="6" r:id="rId8"/>
  </sheets>
  <definedNames>
    <definedName name="solver_adj" localSheetId="7" hidden="1">'LP Model'!$B$24:$D$24</definedName>
    <definedName name="solver_cvg" localSheetId="7" hidden="1">0.0001</definedName>
    <definedName name="solver_drv" localSheetId="7" hidden="1">1</definedName>
    <definedName name="solver_eng" localSheetId="7" hidden="1">2</definedName>
    <definedName name="solver_est" localSheetId="7" hidden="1">1</definedName>
    <definedName name="solver_itr" localSheetId="7" hidden="1">2147483647</definedName>
    <definedName name="solver_lhs1" localSheetId="7" hidden="1">'LP Model'!$B$18</definedName>
    <definedName name="solver_lhs2" localSheetId="7" hidden="1">'LP Model'!$B$19</definedName>
    <definedName name="solver_lhs3" localSheetId="7" hidden="1">'LP Model'!$B$20</definedName>
    <definedName name="solver_lhs4" localSheetId="7" hidden="1">'LP Model'!$B$21</definedName>
    <definedName name="solver_lhs5" localSheetId="7" hidden="1">'LP Model'!$B$24</definedName>
    <definedName name="solver_lhs6" localSheetId="7" hidden="1">'LP Model'!$B$24:$D$24</definedName>
    <definedName name="solver_lhs7" localSheetId="7" hidden="1">'LP Model'!$C$24</definedName>
    <definedName name="solver_lhs8" localSheetId="7" hidden="1">'LP Model'!$D$24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8</definedName>
    <definedName name="solver_nwt" localSheetId="7" hidden="1">1</definedName>
    <definedName name="solver_opt" localSheetId="7" hidden="1">'LP Model'!$D$28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el3" localSheetId="7" hidden="1">1</definedName>
    <definedName name="solver_rel4" localSheetId="7" hidden="1">3</definedName>
    <definedName name="solver_rel5" localSheetId="7" hidden="1">3</definedName>
    <definedName name="solver_rel6" localSheetId="7" hidden="1">3</definedName>
    <definedName name="solver_rel7" localSheetId="7" hidden="1">3</definedName>
    <definedName name="solver_rel8" localSheetId="7" hidden="1">3</definedName>
    <definedName name="solver_rhs1" localSheetId="7" hidden="1">480</definedName>
    <definedName name="solver_rhs2" localSheetId="7" hidden="1">600</definedName>
    <definedName name="solver_rhs3" localSheetId="7" hidden="1">14000</definedName>
    <definedName name="solver_rhs4" localSheetId="7" hidden="1">500</definedName>
    <definedName name="solver_rhs5" localSheetId="7" hidden="1">300</definedName>
    <definedName name="solver_rhs6" localSheetId="7" hidden="1">0</definedName>
    <definedName name="solver_rhs7" localSheetId="7" hidden="1">300</definedName>
    <definedName name="solver_rhs8" localSheetId="7" hidden="1">400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1</definedName>
    <definedName name="solver_val" localSheetId="7" hidden="1">0</definedName>
    <definedName name="solver_ver" localSheetId="7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6" l="1"/>
  <c r="E23" i="6"/>
  <c r="B23" i="6"/>
  <c r="E22" i="6"/>
  <c r="B22" i="6"/>
  <c r="E21" i="6"/>
  <c r="B21" i="6"/>
  <c r="E20" i="6"/>
  <c r="B20" i="6"/>
  <c r="E19" i="6"/>
  <c r="B19" i="6"/>
  <c r="E18" i="6"/>
  <c r="B18" i="6"/>
  <c r="D7" i="6"/>
  <c r="C7" i="6"/>
  <c r="B7" i="6"/>
  <c r="C33" i="5"/>
  <c r="C32" i="5"/>
  <c r="C31" i="5"/>
  <c r="C26" i="5"/>
  <c r="B26" i="5"/>
  <c r="C25" i="5"/>
  <c r="B25" i="5"/>
  <c r="C24" i="5"/>
  <c r="B24" i="5"/>
  <c r="K19" i="5"/>
  <c r="J19" i="5"/>
  <c r="I19" i="5"/>
  <c r="H19" i="5"/>
  <c r="G19" i="5"/>
  <c r="F19" i="5"/>
  <c r="E19" i="5"/>
  <c r="D19" i="5"/>
  <c r="K18" i="5"/>
  <c r="J18" i="5"/>
  <c r="I18" i="5"/>
  <c r="H18" i="5"/>
  <c r="G18" i="5"/>
  <c r="F18" i="5"/>
  <c r="E18" i="5"/>
  <c r="D18" i="5"/>
  <c r="K17" i="5"/>
  <c r="J17" i="5"/>
  <c r="I17" i="5"/>
  <c r="H17" i="5"/>
  <c r="G17" i="5"/>
  <c r="F17" i="5"/>
  <c r="E17" i="5"/>
  <c r="D17" i="5"/>
  <c r="K16" i="5"/>
  <c r="J16" i="5"/>
  <c r="I16" i="5"/>
  <c r="H16" i="5"/>
  <c r="G16" i="5"/>
  <c r="F16" i="5"/>
  <c r="E16" i="5"/>
  <c r="D16" i="5"/>
  <c r="K15" i="5"/>
  <c r="J15" i="5"/>
  <c r="I15" i="5"/>
  <c r="H15" i="5"/>
  <c r="G15" i="5"/>
  <c r="F15" i="5"/>
  <c r="E15" i="5"/>
  <c r="D15" i="5"/>
  <c r="K14" i="5"/>
  <c r="J14" i="5"/>
  <c r="I14" i="5"/>
  <c r="H14" i="5"/>
  <c r="G14" i="5"/>
  <c r="F14" i="5"/>
  <c r="E14" i="5"/>
  <c r="D14" i="5"/>
  <c r="K13" i="5"/>
  <c r="J13" i="5"/>
  <c r="I13" i="5"/>
  <c r="H13" i="5"/>
  <c r="G13" i="5"/>
  <c r="F13" i="5"/>
  <c r="E13" i="5"/>
  <c r="D13" i="5"/>
  <c r="K12" i="5"/>
  <c r="J12" i="5"/>
  <c r="I12" i="5"/>
  <c r="H12" i="5"/>
  <c r="G12" i="5"/>
  <c r="F12" i="5"/>
  <c r="E12" i="5"/>
  <c r="D12" i="5"/>
  <c r="K11" i="5"/>
  <c r="J11" i="5"/>
  <c r="I11" i="5"/>
  <c r="H11" i="5"/>
  <c r="G11" i="5"/>
  <c r="F11" i="5"/>
  <c r="E11" i="5"/>
  <c r="D11" i="5"/>
  <c r="K10" i="5"/>
  <c r="J10" i="5"/>
  <c r="I10" i="5"/>
  <c r="H10" i="5"/>
  <c r="K9" i="5"/>
  <c r="J9" i="5"/>
  <c r="I9" i="5"/>
  <c r="H9" i="5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B17" i="3"/>
  <c r="B16" i="3"/>
  <c r="B15" i="3"/>
  <c r="B14" i="3"/>
  <c r="B13" i="3"/>
  <c r="B12" i="3"/>
  <c r="B11" i="3"/>
  <c r="K15" i="2"/>
  <c r="J15" i="2"/>
  <c r="I15" i="2"/>
  <c r="H15" i="2"/>
  <c r="G15" i="2"/>
  <c r="F15" i="2"/>
  <c r="E15" i="2"/>
  <c r="D15" i="2"/>
  <c r="C15" i="2"/>
  <c r="B15" i="2"/>
  <c r="K14" i="2"/>
  <c r="J14" i="2"/>
  <c r="I14" i="2"/>
  <c r="C14" i="2"/>
  <c r="K13" i="2"/>
  <c r="J13" i="2"/>
  <c r="I13" i="2"/>
  <c r="C13" i="2"/>
  <c r="K12" i="2"/>
  <c r="J12" i="2"/>
  <c r="I12" i="2"/>
  <c r="C12" i="2"/>
  <c r="K11" i="2"/>
  <c r="J11" i="2"/>
  <c r="I11" i="2"/>
  <c r="C11" i="2"/>
  <c r="K10" i="2"/>
  <c r="J10" i="2"/>
  <c r="I10" i="2"/>
  <c r="C10" i="2"/>
  <c r="K9" i="2"/>
  <c r="J9" i="2"/>
  <c r="I9" i="2"/>
  <c r="C9" i="2"/>
  <c r="K8" i="2"/>
  <c r="J8" i="2"/>
  <c r="I8" i="2"/>
  <c r="C8" i="2"/>
  <c r="K7" i="2"/>
  <c r="J7" i="2"/>
  <c r="I7" i="2"/>
  <c r="C7" i="2"/>
  <c r="K6" i="2"/>
  <c r="J6" i="2"/>
  <c r="I6" i="2"/>
  <c r="C6" i="2"/>
  <c r="K5" i="2"/>
  <c r="J5" i="2"/>
  <c r="I5" i="2"/>
  <c r="C5" i="2"/>
  <c r="K4" i="2"/>
  <c r="J4" i="2"/>
  <c r="I4" i="2"/>
  <c r="C4" i="2"/>
  <c r="K3" i="2"/>
  <c r="J3" i="2"/>
  <c r="I3" i="2"/>
  <c r="C3" i="2"/>
</calcChain>
</file>

<file path=xl/sharedStrings.xml><?xml version="1.0" encoding="utf-8"?>
<sst xmlns="http://schemas.openxmlformats.org/spreadsheetml/2006/main" count="267" uniqueCount="204">
  <si>
    <t>Company</t>
  </si>
  <si>
    <t>NakhleeCo Snacks LLC</t>
  </si>
  <si>
    <t>Industry</t>
  </si>
  <si>
    <t>Food Manufacturing (Packaged Dates &amp; Traditional Sweets)</t>
  </si>
  <si>
    <t>Location</t>
  </si>
  <si>
    <t>Riyadh, Saudi Arabia</t>
  </si>
  <si>
    <t>Analysis Date</t>
  </si>
  <si>
    <t>April 2025</t>
  </si>
  <si>
    <t>Prepared by</t>
  </si>
  <si>
    <t>Group [Your Names]</t>
  </si>
  <si>
    <t>Worksheet Guide</t>
  </si>
  <si>
    <t>Sheet</t>
  </si>
  <si>
    <t>Contents</t>
  </si>
  <si>
    <t>Overview</t>
  </si>
  <si>
    <t>This page – company summary and navigation</t>
  </si>
  <si>
    <t>Raw Data</t>
  </si>
  <si>
    <t>12 months of sales, cost, and demand data</t>
  </si>
  <si>
    <t>Break-Even</t>
  </si>
  <si>
    <t>Fixed/variable cost analysis, BEP in units &amp; revenue</t>
  </si>
  <si>
    <t>Regression</t>
  </si>
  <si>
    <t>Multiple regression model – demand drivers</t>
  </si>
  <si>
    <t>Forecasting</t>
  </si>
  <si>
    <t>Moving Average vs Exponential Smoothing comparison</t>
  </si>
  <si>
    <t>LP Model</t>
  </si>
  <si>
    <t>Linear Programming – production mix optimization</t>
  </si>
  <si>
    <t>Sensitivity</t>
  </si>
  <si>
    <t>Solver sensitivity report interpretation</t>
  </si>
  <si>
    <t>NakhleeCo Snacks – Monthly Sales &amp; Cost Data (Jan–Dec 2024)</t>
  </si>
  <si>
    <t>Month</t>
  </si>
  <si>
    <t>Units Sold
(000s)</t>
  </si>
  <si>
    <t>Revenue
($ 000s)</t>
  </si>
  <si>
    <t>Price/Unit
($)</t>
  </si>
  <si>
    <t>Advertising
($ 000s)</t>
  </si>
  <si>
    <t>Temperature
(°C avg)</t>
  </si>
  <si>
    <t>Fixed Cost
($ 000s)</t>
  </si>
  <si>
    <t>Variable Cost
($/unit)</t>
  </si>
  <si>
    <t>Total VC
($ 000s)</t>
  </si>
  <si>
    <t>Total Cost
($ 000s)</t>
  </si>
  <si>
    <t>Profit
($ 000s)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</si>
  <si>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</si>
  <si>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</si>
  <si>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</si>
  <si>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</si>
  <si>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</si>
  <si>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</si>
  <si>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</si>
  <si>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</si>
  <si>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</si>
  <si>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</si>
  <si>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</si>
  <si>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</si>
  <si>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TOTAL / AVG</t>
  </si>
  <si>
    <t>Notes:</t>
  </si>
  <si>
    <t>• Units in thousands (000s), Revenue &amp; Costs in USD thousands</t>
  </si>
  <si>
    <t>• Blue values = hardcoded inputs. Black values = formula-calculated</t>
  </si>
  <si>
    <t>Multiple Regression Analysis – Demand Drivers</t>
  </si>
  <si>
    <t>Objective: Identify how Advertising Spend and Temperature affect monthly Units Sold</t>
  </si>
  <si>
    <t>Units Sold
(Y, 000s)</t>
  </si>
  <si>
    <t>Advertising
(X1, $ 000s)</t>
  </si>
  <si>
    <t>Temperature
(X2, °C)</t>
  </si>
  <si>
    <t>Price
(X3, $)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</si>
  <si>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</si>
  <si>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</si>
  <si>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</si>
  <si>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</si>
  <si>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</si>
  <si>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</si>
  <si>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</si>
  <si>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</si>
  <si>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</si>
  <si>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</si>
  <si>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</si>
  <si>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</si>
  <si>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</si>
  <si>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</si>
  <si>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</si>
  <si>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</si>
  <si>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</si>
  <si>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</si>
  <si>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</si>
  <si>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</si>
  <si>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</si>
  <si>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Demand Forecasting – Moving Average vs Exponential Smoothing</t>
  </si>
  <si>
    <t>Inputs</t>
  </si>
  <si>
    <t>Alpha (α) for Exponential Smoothing:</t>
  </si>
  <si>
    <t>Moving Average Period:</t>
  </si>
  <si>
    <t>← 3-month moving average</t>
  </si>
  <si>
    <t>Period</t>
  </si>
  <si>
    <t>Actual
(000s)</t>
  </si>
  <si>
    <t>3-Month
Moving Avg</t>
  </si>
  <si>
    <t>MA Error</t>
  </si>
  <si>
    <t>MA |Error|</t>
  </si>
  <si>
    <t>MA Error²</t>
  </si>
  <si>
    <t>Exp. Smoothing
Forecast</t>
  </si>
  <si>
    <t>ES Error</t>
  </si>
  <si>
    <t>ES |Error|</t>
  </si>
  <si>
    <t>ES Error²</t>
  </si>
  <si>
    <t>Notes</t>
  </si>
  <si>
    <t>N/A</t>
  </si>
  <si>
    <t>Seed value</t>
  </si>
  <si>
    <t>ES starts</t>
  </si>
  <si>
    <t>MA starts</t>
  </si>
  <si>
    <t>FORECAST ACCURACY COMPARISON</t>
  </si>
  <si>
    <t>Metric</t>
  </si>
  <si>
    <t>3-Month Moving Average</t>
  </si>
  <si>
    <t>Exponential Smoothing (α=0.35)</t>
  </si>
  <si>
    <t>Better Method</t>
  </si>
  <si>
    <t>MAE (Mean Absolute Error)</t>
  </si>
  <si>
    <t>MSE (Mean Squared Error)</t>
  </si>
  <si>
    <t>RMSE (Root Mean Squared Error)</t>
  </si>
  <si>
    <t>FORECASTS FOR JAN–MAR 2025 (Using chosen method: Exponential Smoothing)</t>
  </si>
  <si>
    <t>Forecast (000s)</t>
  </si>
  <si>
    <t>Justification</t>
  </si>
  <si>
    <t>Jan-25</t>
  </si>
  <si>
    <t>Continuing ES from Dec-24; ES formula applied to last known actual</t>
  </si>
  <si>
    <t>Feb-25</t>
  </si>
  <si>
    <t>No new actual available → carry forward Jan-25 forecast</t>
  </si>
  <si>
    <t>Mar-25</t>
  </si>
  <si>
    <t>Carry forward; expected seasonal uptick in spring not yet modeled</t>
  </si>
  <si>
    <t>Constraint</t>
  </si>
  <si>
    <t>X1: Dates (units/month)</t>
  </si>
  <si>
    <t>X2: Kilja (units/month)</t>
  </si>
  <si>
    <t>X3: Maamoul (units/month)</t>
  </si>
  <si>
    <t>Lower 95.0%</t>
  </si>
  <si>
    <t>Upper 95.0%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</si>
  <si>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</si>
  <si>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</si>
  <si>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</si>
  <si>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</si>
  <si>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</si>
  <si>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</si>
  <si>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</si>
  <si>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</si>
  <si>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</si>
  <si>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</si>
  <si>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</si>
  <si>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</si>
  <si>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</si>
  <si>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</si>
  <si>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</si>
  <si>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R.H. Side</t>
  </si>
  <si>
    <t>$B$24</t>
  </si>
  <si>
    <t>$C$24</t>
  </si>
  <si>
    <t>$D$24</t>
  </si>
  <si>
    <t>$B$18</t>
  </si>
  <si>
    <t>Machine Hours (hrs/month) Resource Used
(LHS formula)</t>
  </si>
  <si>
    <t>$B$19</t>
  </si>
  <si>
    <t>Labor Hours (hrs/month) Resource Used
(LHS formula)</t>
  </si>
  <si>
    <t>$B$20</t>
  </si>
  <si>
    <t>Raw Material (kg/month) Resource Used
(LHS formula)</t>
  </si>
  <si>
    <t>$B$21</t>
  </si>
  <si>
    <t>Min Dates production Resource Used
(LHS formula)</t>
  </si>
  <si>
    <t>X Variable 1</t>
  </si>
  <si>
    <t>X Variable 2</t>
  </si>
  <si>
    <t>X Variable 3</t>
  </si>
  <si>
    <t>Simple cost-volume-profit check for the case</t>
  </si>
  <si>
    <t>Price per unit ($)</t>
  </si>
  <si>
    <t>Variable cost per unit ($)</t>
  </si>
  <si>
    <t>Fixed cost per month ($000)</t>
  </si>
  <si>
    <t>Target profit ($000)</t>
  </si>
  <si>
    <t>Results</t>
  </si>
  <si>
    <t>Contribution margin per unit</t>
  </si>
  <si>
    <t>Break-even units (000s)</t>
  </si>
  <si>
    <t>Break-even revenue ($000)</t>
  </si>
  <si>
    <t>Units needed for target profit (000s)</t>
  </si>
  <si>
    <t>Revenue at target profit ($000)</t>
  </si>
  <si>
    <t>Avg monthly sales from raw data (000s)</t>
  </si>
  <si>
    <t>Margin of safety (000s)</t>
  </si>
  <si>
    <t>Chart data</t>
  </si>
  <si>
    <t>Units</t>
  </si>
  <si>
    <t>Revenue</t>
  </si>
  <si>
    <t>Total cost</t>
  </si>
  <si>
    <t>Dates</t>
  </si>
  <si>
    <t>Kilja</t>
  </si>
  <si>
    <t>Maamoul</t>
  </si>
  <si>
    <t>Selling price</t>
  </si>
  <si>
    <t>Variable cost</t>
  </si>
  <si>
    <t>Contribution/unit</t>
  </si>
  <si>
    <t>Machine hrs/unit</t>
  </si>
  <si>
    <t>Labor hrs/unit</t>
  </si>
  <si>
    <t>Raw material kg/unit</t>
  </si>
  <si>
    <t>Constraint check</t>
  </si>
  <si>
    <t>Used</t>
  </si>
  <si>
    <t>Sign</t>
  </si>
  <si>
    <t>Limit</t>
  </si>
  <si>
    <t>Slack</t>
  </si>
  <si>
    <t>Machine hours</t>
  </si>
  <si>
    <t>&lt;=</t>
  </si>
  <si>
    <t>Labor hours</t>
  </si>
  <si>
    <t>Raw material</t>
  </si>
  <si>
    <t>Min dates</t>
  </si>
  <si>
    <t>&gt;=</t>
  </si>
  <si>
    <t>Min kilja</t>
  </si>
  <si>
    <t>Min maamoul</t>
  </si>
  <si>
    <t>Decision variables</t>
  </si>
  <si>
    <t>Solver changes B24:D24</t>
  </si>
  <si>
    <t>Total monthly contribution ($)</t>
  </si>
  <si>
    <t>Binding resource from sensitivity report: labor hours</t>
  </si>
  <si>
    <t>Aljoharah Alasheikh, Daad Aljaber, hanan Alsalamah, Hailah Alzakri, Fajer Waleed</t>
  </si>
  <si>
    <t xml:space="preserve">IS371 Quantitative Analysis </t>
  </si>
  <si>
    <t xml:space="preserve">NakhleeCo Snacks – Quantitative Analysis </t>
  </si>
  <si>
    <t xml:space="preserve">• Temperature = Riyadh avg monthly temperature </t>
  </si>
  <si>
    <t>The company is below break-even based on the current raw-data average</t>
  </si>
  <si>
    <t>Compare values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</si>
</sst>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2E75B6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1F4E79"/>
      <name val="Arial"/>
      <family val="2"/>
    </font>
    <font>
      <i/>
      <sz val="9"/>
      <color rgb="FF595959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000AA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color rgb="FF375623"/>
      <name val="Arial"/>
      <family val="2"/>
    </font>
    <font>
      <sz val="9"/>
      <color rgb="FF595959"/>
      <name val="Arial"/>
      <family val="2"/>
    </font>
    <font>
      <b/>
      <sz val="8"/>
      <color rgb="FFFFFFFF"/>
      <name val="Arial"/>
      <family val="2"/>
    </font>
    <font>
      <sz val="8"/>
      <color rgb="FF595959"/>
      <name val="Arial"/>
      <family val="2"/>
    </font>
    <font>
      <i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00206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8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9" fillId="3" borderId="1" xfId="0" applyNumberFormat="1" applyFont="1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3" fontId="9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0" fontId="10" fillId="4" borderId="0" xfId="0" applyFont="1" applyFill="1"/>
    <xf numFmtId="164" fontId="10" fillId="4" borderId="1" xfId="0" applyNumberFormat="1" applyFont="1" applyFill="1" applyBorder="1" applyAlignment="1">
      <alignment horizontal="right" vertical="center"/>
    </xf>
    <xf numFmtId="0" fontId="11" fillId="0" borderId="0" xfId="0" applyFont="1"/>
    <xf numFmtId="4" fontId="14" fillId="6" borderId="1" xfId="0" applyNumberFormat="1" applyFont="1" applyFill="1" applyBorder="1" applyAlignment="1">
      <alignment horizontal="right" vertical="center"/>
    </xf>
    <xf numFmtId="0" fontId="3" fillId="0" borderId="1" xfId="0" applyFont="1" applyBorder="1"/>
    <xf numFmtId="0" fontId="8" fillId="4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3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2" fontId="9" fillId="5" borderId="1" xfId="0" applyNumberFormat="1" applyFont="1" applyFill="1" applyBorder="1"/>
    <xf numFmtId="0" fontId="15" fillId="0" borderId="0" xfId="0" applyFont="1"/>
    <xf numFmtId="0" fontId="9" fillId="5" borderId="1" xfId="0" applyFont="1" applyFill="1" applyBorder="1"/>
    <xf numFmtId="0" fontId="1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/>
    <xf numFmtId="0" fontId="4" fillId="6" borderId="1" xfId="0" applyFont="1" applyFill="1" applyBorder="1"/>
    <xf numFmtId="164" fontId="0" fillId="6" borderId="1" xfId="0" applyNumberFormat="1" applyFill="1" applyBorder="1"/>
    <xf numFmtId="0" fontId="11" fillId="6" borderId="1" xfId="0" applyFont="1" applyFill="1" applyBorder="1"/>
    <xf numFmtId="0" fontId="0" fillId="0" borderId="2" xfId="0" applyBorder="1"/>
    <xf numFmtId="0" fontId="18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Continuous"/>
    </xf>
    <xf numFmtId="0" fontId="19" fillId="0" borderId="0" xfId="0" applyFont="1"/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3" fillId="0" borderId="0" xfId="0" applyFont="1"/>
    <xf numFmtId="0" fontId="12" fillId="5" borderId="0" xfId="0" applyFont="1" applyFill="1"/>
    <xf numFmtId="0" fontId="13" fillId="2" borderId="0" xfId="0" applyFont="1" applyFill="1" applyAlignment="1">
      <alignment horizontal="left" vertical="center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AA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2"/>
  <sheetViews>
    <sheetView showGridLines="0" zoomScaleNormal="100" workbookViewId="0">
      <selection activeCell="B2" sqref="B2:H2"/>
    </sheetView>
  </sheetViews>
  <sheetFormatPr baseColWidth="10" defaultColWidth="8.6640625" defaultRowHeight="15" x14ac:dyDescent="0.2"/>
  <cols>
    <col min="1" max="1" width="3" customWidth="1"/>
    <col min="2" max="2" width="20" customWidth="1"/>
    <col min="3" max="3" width="5" customWidth="1"/>
    <col min="4" max="4" width="50" customWidth="1"/>
    <col min="8" max="8" width="5" customWidth="1"/>
  </cols>
  <sheetData>
    <row r="1" spans="2:8" ht="15" customHeight="1" x14ac:dyDescent="0.2"/>
    <row r="2" spans="2:8" ht="19.5" customHeight="1" x14ac:dyDescent="0.2">
      <c r="B2" s="49" t="s">
        <v>200</v>
      </c>
      <c r="C2" s="49"/>
      <c r="D2" s="49"/>
      <c r="E2" s="49"/>
      <c r="F2" s="49"/>
      <c r="G2" s="49"/>
      <c r="H2" s="49"/>
    </row>
    <row r="3" spans="2:8" ht="15" customHeight="1" x14ac:dyDescent="0.2">
      <c r="B3" s="50" t="s">
        <v>199</v>
      </c>
      <c r="C3" s="50"/>
      <c r="D3" s="50"/>
      <c r="E3" s="50"/>
      <c r="F3" s="50"/>
      <c r="G3" s="50"/>
      <c r="H3" s="50"/>
    </row>
    <row r="5" spans="2:8" ht="15" customHeight="1" x14ac:dyDescent="0.2">
      <c r="B5" s="1" t="s">
        <v>0</v>
      </c>
      <c r="C5" s="2" t="s">
        <v>1</v>
      </c>
    </row>
    <row r="6" spans="2:8" ht="15" customHeight="1" x14ac:dyDescent="0.2">
      <c r="B6" s="1" t="s">
        <v>2</v>
      </c>
      <c r="C6" s="2" t="s">
        <v>3</v>
      </c>
    </row>
    <row r="7" spans="2:8" ht="15" customHeight="1" x14ac:dyDescent="0.2">
      <c r="B7" s="1" t="s">
        <v>4</v>
      </c>
      <c r="C7" s="2" t="s">
        <v>5</v>
      </c>
    </row>
    <row r="8" spans="2:8" ht="15" customHeight="1" x14ac:dyDescent="0.2">
      <c r="B8" s="1" t="s">
        <v>6</v>
      </c>
      <c r="C8" s="2" t="s">
        <v>7</v>
      </c>
    </row>
    <row r="9" spans="2:8" ht="15" customHeight="1" x14ac:dyDescent="0.2">
      <c r="B9" s="1" t="s">
        <v>8</v>
      </c>
      <c r="C9" s="2" t="s">
        <v>9</v>
      </c>
      <c r="D9" t="s">
        <v>198</v>
      </c>
    </row>
    <row r="12" spans="2:8" ht="15" customHeight="1" x14ac:dyDescent="0.2">
      <c r="B12" s="3" t="s">
        <v>10</v>
      </c>
    </row>
    <row r="13" spans="2:8" ht="15" customHeight="1" x14ac:dyDescent="0.2">
      <c r="B13" s="1" t="s">
        <v>11</v>
      </c>
      <c r="D13" s="2" t="s">
        <v>12</v>
      </c>
    </row>
    <row r="14" spans="2:8" ht="15" customHeight="1" x14ac:dyDescent="0.2">
      <c r="B14" s="4" t="s">
        <v>13</v>
      </c>
      <c r="C14" s="5"/>
      <c r="D14" s="4" t="s">
        <v>14</v>
      </c>
    </row>
    <row r="15" spans="2:8" ht="15" customHeight="1" x14ac:dyDescent="0.2">
      <c r="B15" s="2" t="s">
        <v>15</v>
      </c>
      <c r="D15" s="2" t="s">
        <v>16</v>
      </c>
    </row>
    <row r="16" spans="2:8" ht="15" customHeight="1" x14ac:dyDescent="0.2">
      <c r="B16" s="4" t="s">
        <v>17</v>
      </c>
      <c r="C16" s="5"/>
      <c r="D16" s="4" t="s">
        <v>18</v>
      </c>
    </row>
    <row r="17" spans="2:8" ht="15" customHeight="1" x14ac:dyDescent="0.2">
      <c r="B17" s="2" t="s">
        <v>19</v>
      </c>
      <c r="D17" s="2" t="s">
        <v>20</v>
      </c>
    </row>
    <row r="18" spans="2:8" ht="15" customHeight="1" x14ac:dyDescent="0.2">
      <c r="B18" s="4" t="s">
        <v>21</v>
      </c>
      <c r="C18" s="5"/>
      <c r="D18" s="4" t="s">
        <v>22</v>
      </c>
    </row>
    <row r="19" spans="2:8" ht="15" customHeight="1" x14ac:dyDescent="0.2">
      <c r="B19" s="2" t="s">
        <v>23</v>
      </c>
      <c r="D19" s="2" t="s">
        <v>24</v>
      </c>
    </row>
    <row r="20" spans="2:8" ht="15" customHeight="1" x14ac:dyDescent="0.2">
      <c r="B20" s="4" t="s">
        <v>25</v>
      </c>
      <c r="C20" s="5"/>
      <c r="D20" s="4" t="s">
        <v>26</v>
      </c>
    </row>
    <row r="22" spans="2:8" ht="15" customHeight="1" x14ac:dyDescent="0.2">
      <c r="B22" s="51"/>
      <c r="C22" s="51"/>
      <c r="D22" s="51"/>
      <c r="E22" s="51"/>
      <c r="F22" s="51"/>
      <c r="G22" s="51"/>
      <c r="H22" s="51"/>
    </row>
  </sheetData>
  <mergeCells count="3">
    <mergeCell ref="B2:H2"/>
    <mergeCell ref="B3:H3"/>
    <mergeCell ref="B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showGridLines="0" zoomScaleNormal="100" workbookViewId="0">
      <selection activeCell="A20" sqref="A20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3" width="14" customWidth="1"/>
    <col min="4" max="4" width="11" customWidth="1"/>
    <col min="5" max="5" width="14" customWidth="1"/>
    <col min="6" max="6" width="13" customWidth="1"/>
    <col min="7" max="11" width="14" customWidth="1"/>
  </cols>
  <sheetData>
    <row r="1" spans="1:11" ht="15.75" customHeight="1" x14ac:dyDescent="0.2">
      <c r="A1" s="52" t="s">
        <v>27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34.5" customHeight="1" x14ac:dyDescent="0.2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 t="s">
        <v>37</v>
      </c>
      <c r="K2" s="6" t="s">
        <v>38</v>
      </c>
    </row>
    <row r="3" spans="1:11" ht="15" customHeight="1" x14ac:dyDescent="0.2">
      <c r="A3" s="7" t="s">
        <v>39</v>
      </c>
      <c r="B3" s="8">
        <v>42.5</v>
      </c>
      <c r="C3" s="9">
        <f t="shared" ref="C3:C14" si="0">B3*D3</f>
        <v>148.75</v>
      </c>
      <c r="D3" s="10">
        <v>3.5</v>
      </c>
      <c r="E3" s="10">
        <v>14</v>
      </c>
      <c r="F3" s="8">
        <v>14.2</v>
      </c>
      <c r="G3" s="10">
        <v>280</v>
      </c>
      <c r="H3" s="10">
        <v>1.8</v>
      </c>
      <c r="I3" s="9">
        <f t="shared" ref="I3:I14" si="1">B3*H3</f>
        <v>76.5</v>
      </c>
      <c r="J3" s="9">
        <f t="shared" ref="J3:J14" si="2">G3+I3</f>
        <v>356.5</v>
      </c>
      <c r="K3" s="9">
        <f t="shared" ref="K3:K14" si="3">C3-J3</f>
        <v>-207.75</v>
      </c>
    </row>
    <row r="4" spans="1:11" ht="15" customHeight="1" x14ac:dyDescent="0.2">
      <c r="A4" s="11" t="s">
        <v>40</v>
      </c>
      <c r="B4" s="12">
        <v>44</v>
      </c>
      <c r="C4" s="13">
        <f t="shared" si="0"/>
        <v>154</v>
      </c>
      <c r="D4" s="14">
        <v>3.5</v>
      </c>
      <c r="E4" s="14">
        <v>14.5</v>
      </c>
      <c r="F4" s="12">
        <v>17.399999999999999</v>
      </c>
      <c r="G4" s="14">
        <v>280</v>
      </c>
      <c r="H4" s="14">
        <v>1.8</v>
      </c>
      <c r="I4" s="13">
        <f t="shared" si="1"/>
        <v>79.2</v>
      </c>
      <c r="J4" s="13">
        <f t="shared" si="2"/>
        <v>359.2</v>
      </c>
      <c r="K4" s="13">
        <f t="shared" si="3"/>
        <v>-205.2</v>
      </c>
    </row>
    <row r="5" spans="1:11" ht="15" customHeight="1" x14ac:dyDescent="0.2">
      <c r="A5" s="7" t="s">
        <v>41</v>
      </c>
      <c r="B5" s="8">
        <v>48.3</v>
      </c>
      <c r="C5" s="9">
        <f t="shared" si="0"/>
        <v>173.88</v>
      </c>
      <c r="D5" s="10">
        <v>3.6</v>
      </c>
      <c r="E5" s="10">
        <v>16</v>
      </c>
      <c r="F5" s="8">
        <v>22.1</v>
      </c>
      <c r="G5" s="10">
        <v>280</v>
      </c>
      <c r="H5" s="10">
        <v>1.82</v>
      </c>
      <c r="I5" s="9">
        <f t="shared" si="1"/>
        <v>87.905999999999992</v>
      </c>
      <c r="J5" s="9">
        <f t="shared" si="2"/>
        <v>367.90600000000001</v>
      </c>
      <c r="K5" s="9">
        <f t="shared" si="3"/>
        <v>-194.02600000000001</v>
      </c>
    </row>
    <row r="6" spans="1:11" ht="15" customHeight="1" x14ac:dyDescent="0.2">
      <c r="A6" s="11" t="s">
        <v>42</v>
      </c>
      <c r="B6" s="12">
        <v>51.2</v>
      </c>
      <c r="C6" s="13">
        <f t="shared" si="0"/>
        <v>184.32000000000002</v>
      </c>
      <c r="D6" s="14">
        <v>3.6</v>
      </c>
      <c r="E6" s="14">
        <v>17.5</v>
      </c>
      <c r="F6" s="12">
        <v>28.3</v>
      </c>
      <c r="G6" s="14">
        <v>280</v>
      </c>
      <c r="H6" s="14">
        <v>1.82</v>
      </c>
      <c r="I6" s="13">
        <f t="shared" si="1"/>
        <v>93.184000000000012</v>
      </c>
      <c r="J6" s="13">
        <f t="shared" si="2"/>
        <v>373.18400000000003</v>
      </c>
      <c r="K6" s="13">
        <f t="shared" si="3"/>
        <v>-188.864</v>
      </c>
    </row>
    <row r="7" spans="1:11" ht="15" customHeight="1" x14ac:dyDescent="0.2">
      <c r="A7" s="7" t="s">
        <v>43</v>
      </c>
      <c r="B7" s="8">
        <v>55.8</v>
      </c>
      <c r="C7" s="9">
        <f t="shared" si="0"/>
        <v>206.46</v>
      </c>
      <c r="D7" s="10">
        <v>3.7</v>
      </c>
      <c r="E7" s="10">
        <v>19.5</v>
      </c>
      <c r="F7" s="8">
        <v>33.799999999999997</v>
      </c>
      <c r="G7" s="10">
        <v>285</v>
      </c>
      <c r="H7" s="10">
        <v>1.85</v>
      </c>
      <c r="I7" s="9">
        <f t="shared" si="1"/>
        <v>103.23</v>
      </c>
      <c r="J7" s="9">
        <f t="shared" si="2"/>
        <v>388.23</v>
      </c>
      <c r="K7" s="9">
        <f t="shared" si="3"/>
        <v>-181.77</v>
      </c>
    </row>
    <row r="8" spans="1:11" ht="15" customHeight="1" x14ac:dyDescent="0.2">
      <c r="A8" s="11" t="s">
        <v>44</v>
      </c>
      <c r="B8" s="12">
        <v>61.4</v>
      </c>
      <c r="C8" s="13">
        <f t="shared" si="0"/>
        <v>227.18</v>
      </c>
      <c r="D8" s="14">
        <v>3.7</v>
      </c>
      <c r="E8" s="14">
        <v>22.5</v>
      </c>
      <c r="F8" s="12">
        <v>38.9</v>
      </c>
      <c r="G8" s="14">
        <v>285</v>
      </c>
      <c r="H8" s="14">
        <v>1.85</v>
      </c>
      <c r="I8" s="13">
        <f t="shared" si="1"/>
        <v>113.59</v>
      </c>
      <c r="J8" s="13">
        <f t="shared" si="2"/>
        <v>398.59000000000003</v>
      </c>
      <c r="K8" s="13">
        <f t="shared" si="3"/>
        <v>-171.41000000000003</v>
      </c>
    </row>
    <row r="9" spans="1:11" ht="15" customHeight="1" x14ac:dyDescent="0.2">
      <c r="A9" s="7" t="s">
        <v>45</v>
      </c>
      <c r="B9" s="8">
        <v>58.9</v>
      </c>
      <c r="C9" s="9">
        <f t="shared" si="0"/>
        <v>223.82</v>
      </c>
      <c r="D9" s="10">
        <v>3.8</v>
      </c>
      <c r="E9" s="10">
        <v>21</v>
      </c>
      <c r="F9" s="8">
        <v>41.2</v>
      </c>
      <c r="G9" s="10">
        <v>285</v>
      </c>
      <c r="H9" s="10">
        <v>1.88</v>
      </c>
      <c r="I9" s="9">
        <f t="shared" si="1"/>
        <v>110.73199999999999</v>
      </c>
      <c r="J9" s="9">
        <f t="shared" si="2"/>
        <v>395.73199999999997</v>
      </c>
      <c r="K9" s="9">
        <f t="shared" si="3"/>
        <v>-171.91199999999998</v>
      </c>
    </row>
    <row r="10" spans="1:11" ht="15" customHeight="1" x14ac:dyDescent="0.2">
      <c r="A10" s="11" t="s">
        <v>46</v>
      </c>
      <c r="B10" s="12">
        <v>56.3</v>
      </c>
      <c r="C10" s="13">
        <f t="shared" si="0"/>
        <v>213.93999999999997</v>
      </c>
      <c r="D10" s="14">
        <v>3.8</v>
      </c>
      <c r="E10" s="14">
        <v>20</v>
      </c>
      <c r="F10" s="12">
        <v>40.799999999999997</v>
      </c>
      <c r="G10" s="14">
        <v>285</v>
      </c>
      <c r="H10" s="14">
        <v>1.88</v>
      </c>
      <c r="I10" s="13">
        <f t="shared" si="1"/>
        <v>105.84399999999999</v>
      </c>
      <c r="J10" s="13">
        <f t="shared" si="2"/>
        <v>390.84399999999999</v>
      </c>
      <c r="K10" s="13">
        <f t="shared" si="3"/>
        <v>-176.90400000000002</v>
      </c>
    </row>
    <row r="11" spans="1:11" ht="15" customHeight="1" x14ac:dyDescent="0.2">
      <c r="A11" s="7" t="s">
        <v>47</v>
      </c>
      <c r="B11" s="8">
        <v>53.7</v>
      </c>
      <c r="C11" s="9">
        <f t="shared" si="0"/>
        <v>198.69000000000003</v>
      </c>
      <c r="D11" s="10">
        <v>3.7</v>
      </c>
      <c r="E11" s="10">
        <v>18</v>
      </c>
      <c r="F11" s="8">
        <v>35.5</v>
      </c>
      <c r="G11" s="10">
        <v>285</v>
      </c>
      <c r="H11" s="10">
        <v>1.85</v>
      </c>
      <c r="I11" s="9">
        <f t="shared" si="1"/>
        <v>99.345000000000013</v>
      </c>
      <c r="J11" s="9">
        <f t="shared" si="2"/>
        <v>384.34500000000003</v>
      </c>
      <c r="K11" s="9">
        <f t="shared" si="3"/>
        <v>-185.655</v>
      </c>
    </row>
    <row r="12" spans="1:11" ht="15" customHeight="1" x14ac:dyDescent="0.2">
      <c r="A12" s="11" t="s">
        <v>48</v>
      </c>
      <c r="B12" s="12">
        <v>50.1</v>
      </c>
      <c r="C12" s="13">
        <f t="shared" si="0"/>
        <v>180.36</v>
      </c>
      <c r="D12" s="14">
        <v>3.6</v>
      </c>
      <c r="E12" s="14">
        <v>16.5</v>
      </c>
      <c r="F12" s="12">
        <v>28.7</v>
      </c>
      <c r="G12" s="14">
        <v>285</v>
      </c>
      <c r="H12" s="14">
        <v>1.82</v>
      </c>
      <c r="I12" s="13">
        <f t="shared" si="1"/>
        <v>91.182000000000002</v>
      </c>
      <c r="J12" s="13">
        <f t="shared" si="2"/>
        <v>376.18200000000002</v>
      </c>
      <c r="K12" s="13">
        <f t="shared" si="3"/>
        <v>-195.822</v>
      </c>
    </row>
    <row r="13" spans="1:11" ht="15" customHeight="1" x14ac:dyDescent="0.2">
      <c r="A13" s="7" t="s">
        <v>49</v>
      </c>
      <c r="B13" s="8">
        <v>47.6</v>
      </c>
      <c r="C13" s="9">
        <f t="shared" si="0"/>
        <v>166.6</v>
      </c>
      <c r="D13" s="10">
        <v>3.5</v>
      </c>
      <c r="E13" s="10">
        <v>15</v>
      </c>
      <c r="F13" s="8">
        <v>21.6</v>
      </c>
      <c r="G13" s="10">
        <v>280</v>
      </c>
      <c r="H13" s="10">
        <v>1.8</v>
      </c>
      <c r="I13" s="9">
        <f t="shared" si="1"/>
        <v>85.68</v>
      </c>
      <c r="J13" s="9">
        <f t="shared" si="2"/>
        <v>365.68</v>
      </c>
      <c r="K13" s="9">
        <f t="shared" si="3"/>
        <v>-199.08</v>
      </c>
    </row>
    <row r="14" spans="1:11" ht="15" customHeight="1" x14ac:dyDescent="0.2">
      <c r="A14" s="11" t="s">
        <v>50</v>
      </c>
      <c r="B14" s="12">
        <v>52.4</v>
      </c>
      <c r="C14" s="13">
        <f t="shared" si="0"/>
        <v>188.64</v>
      </c>
      <c r="D14" s="14">
        <v>3.6</v>
      </c>
      <c r="E14" s="14">
        <v>21.5</v>
      </c>
      <c r="F14" s="12">
        <v>16.3</v>
      </c>
      <c r="G14" s="14">
        <v>280</v>
      </c>
      <c r="H14" s="14">
        <v>1.82</v>
      </c>
      <c r="I14" s="13">
        <f t="shared" si="1"/>
        <v>95.367999999999995</v>
      </c>
      <c r="J14" s="13">
        <f t="shared" si="2"/>
        <v>375.36799999999999</v>
      </c>
      <c r="K14" s="13">
        <f t="shared" si="3"/>
        <v>-186.72800000000001</v>
      </c>
    </row>
    <row r="15" spans="1:11" ht="15" customHeight="1" x14ac:dyDescent="0.2">
      <c r="A15" s="15" t="s">
        <v>51</v>
      </c>
      <c r="B15" s="16">
        <f>SUM(B3:B14)</f>
        <v>622.19999999999993</v>
      </c>
      <c r="C15" s="16">
        <f>SUM(C3:C14)</f>
        <v>2266.64</v>
      </c>
      <c r="D15" s="16">
        <f>AVERAGE(D3:D14)</f>
        <v>3.6333333333333333</v>
      </c>
      <c r="E15" s="16">
        <f>SUM(E3:E14)</f>
        <v>216</v>
      </c>
      <c r="F15" s="16">
        <f>AVERAGE(F3:F14)</f>
        <v>28.233333333333334</v>
      </c>
      <c r="G15" s="16">
        <f>SUM(G3:G14)</f>
        <v>3390</v>
      </c>
      <c r="H15" s="16">
        <f>AVERAGE(H3:H14)</f>
        <v>1.8325000000000002</v>
      </c>
      <c r="I15" s="16">
        <f>SUM(I3:I14)</f>
        <v>1141.761</v>
      </c>
      <c r="J15" s="16">
        <f>SUM(J3:J14)</f>
        <v>4531.7610000000004</v>
      </c>
      <c r="K15" s="16">
        <f>SUM(K3:K14)</f>
        <v>-2265.1210000000001</v>
      </c>
    </row>
    <row r="17" spans="1:1" ht="15" customHeight="1" x14ac:dyDescent="0.2">
      <c r="A17" s="1" t="s">
        <v>52</v>
      </c>
    </row>
    <row r="18" spans="1:1" ht="15" customHeight="1" x14ac:dyDescent="0.2">
      <c r="A18" s="17" t="s">
        <v>53</v>
      </c>
    </row>
    <row r="19" spans="1:1" ht="15" customHeight="1" x14ac:dyDescent="0.2">
      <c r="A19" s="17" t="s">
        <v>54</v>
      </c>
    </row>
    <row r="20" spans="1:1" ht="15" customHeight="1" x14ac:dyDescent="0.2">
      <c r="A20" s="17" t="s">
        <v>201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topLeftCell="A16" workbookViewId="0">
      <selection activeCell="A30" sqref="A30"/>
    </sheetView>
  </sheetViews>
  <sheetFormatPr baseColWidth="10" defaultRowHeight="15" x14ac:dyDescent="0.2"/>
  <cols>
    <col min="1" max="1" width="32.83203125" customWidth="1"/>
  </cols>
  <sheetData>
    <row r="1" spans="1:2" x14ac:dyDescent="0.2">
      <c r="A1" t="s">
        <v>17</v>
      </c>
    </row>
    <row r="2" spans="1:2" x14ac:dyDescent="0.2">
      <c r="A2" t="s">
        <v>155</v>
      </c>
    </row>
    <row r="4" spans="1:2" x14ac:dyDescent="0.2">
      <c r="A4" t="s">
        <v>83</v>
      </c>
    </row>
    <row r="5" spans="1:2" x14ac:dyDescent="0.2">
      <c r="A5" t="s">
        <v>156</v>
      </c>
      <c r="B5">
        <v>3.65</v>
      </c>
    </row>
    <row r="6" spans="1:2" x14ac:dyDescent="0.2">
      <c r="A6" t="s">
        <v>157</v>
      </c>
      <c r="B6">
        <v>1.83</v>
      </c>
    </row>
    <row r="7" spans="1:2" x14ac:dyDescent="0.2">
      <c r="A7" t="s">
        <v>158</v>
      </c>
      <c r="B7">
        <v>282.5</v>
      </c>
    </row>
    <row r="8" spans="1:2" x14ac:dyDescent="0.2">
      <c r="A8" t="s">
        <v>159</v>
      </c>
      <c r="B8">
        <v>350</v>
      </c>
    </row>
    <row r="10" spans="1:2" x14ac:dyDescent="0.2">
      <c r="A10" t="s">
        <v>160</v>
      </c>
    </row>
    <row r="11" spans="1:2" x14ac:dyDescent="0.2">
      <c r="A11" t="s">
        <v>161</v>
      </c>
      <c r="B11">
        <f>B5-B6</f>
        <v>1.82</v>
      </c>
    </row>
    <row r="12" spans="1:2" x14ac:dyDescent="0.2">
      <c r="A12" t="s">
        <v>162</v>
      </c>
      <c r="B12">
        <f>B7/B11</f>
        <v>155.21978021978023</v>
      </c>
    </row>
    <row r="13" spans="1:2" x14ac:dyDescent="0.2">
      <c r="A13" t="s">
        <v>163</v>
      </c>
      <c r="B13">
        <f>B12*B5</f>
        <v>566.55219780219784</v>
      </c>
    </row>
    <row r="14" spans="1:2" x14ac:dyDescent="0.2">
      <c r="A14" t="s">
        <v>164</v>
      </c>
      <c r="B14">
        <f>(B7+B8)/B11</f>
        <v>347.52747252747258</v>
      </c>
    </row>
    <row r="15" spans="1:2" x14ac:dyDescent="0.2">
      <c r="A15" t="s">
        <v>165</v>
      </c>
      <c r="B15">
        <f>B14*B5</f>
        <v>1268.4752747252749</v>
      </c>
    </row>
    <row r="16" spans="1:2" x14ac:dyDescent="0.2">
      <c r="A16" t="s">
        <v>166</v>
      </c>
      <c r="B16">
        <f>AVERAGE('Raw Data'!B3:B14)</f>
        <v>51.85</v>
      </c>
    </row>
    <row r="17" spans="1:3" x14ac:dyDescent="0.2">
      <c r="A17" t="s">
        <v>167</v>
      </c>
      <c r="B17">
        <f>B16-B12</f>
        <v>-103.36978021978024</v>
      </c>
    </row>
    <row r="19" spans="1:3" x14ac:dyDescent="0.2">
      <c r="A19" t="s">
        <v>168</v>
      </c>
    </row>
    <row r="20" spans="1:3" x14ac:dyDescent="0.2">
      <c r="A20" t="s">
        <v>169</v>
      </c>
      <c r="B20" t="s">
        <v>170</v>
      </c>
      <c r="C20" t="s">
        <v>171</v>
      </c>
    </row>
    <row r="21" spans="1:3" x14ac:dyDescent="0.2">
      <c r="A21">
        <v>10</v>
      </c>
      <c r="B21">
        <f t="shared" ref="B21:B28" si="0">A21*$B$5</f>
        <v>36.5</v>
      </c>
      <c r="C21">
        <f t="shared" ref="C21:C28" si="1">$B$7+A21*$B$6</f>
        <v>300.8</v>
      </c>
    </row>
    <row r="22" spans="1:3" x14ac:dyDescent="0.2">
      <c r="A22">
        <v>20</v>
      </c>
      <c r="B22">
        <f t="shared" si="0"/>
        <v>73</v>
      </c>
      <c r="C22">
        <f t="shared" si="1"/>
        <v>319.10000000000002</v>
      </c>
    </row>
    <row r="23" spans="1:3" x14ac:dyDescent="0.2">
      <c r="A23">
        <v>30</v>
      </c>
      <c r="B23">
        <f t="shared" si="0"/>
        <v>109.5</v>
      </c>
      <c r="C23">
        <f t="shared" si="1"/>
        <v>337.4</v>
      </c>
    </row>
    <row r="24" spans="1:3" x14ac:dyDescent="0.2">
      <c r="A24">
        <v>40</v>
      </c>
      <c r="B24">
        <f t="shared" si="0"/>
        <v>146</v>
      </c>
      <c r="C24">
        <f t="shared" si="1"/>
        <v>355.7</v>
      </c>
    </row>
    <row r="25" spans="1:3" x14ac:dyDescent="0.2">
      <c r="A25">
        <v>50</v>
      </c>
      <c r="B25">
        <f t="shared" si="0"/>
        <v>182.5</v>
      </c>
      <c r="C25">
        <f t="shared" si="1"/>
        <v>374</v>
      </c>
    </row>
    <row r="26" spans="1:3" x14ac:dyDescent="0.2">
      <c r="A26">
        <v>60</v>
      </c>
      <c r="B26">
        <f t="shared" si="0"/>
        <v>219</v>
      </c>
      <c r="C26">
        <f t="shared" si="1"/>
        <v>392.3</v>
      </c>
    </row>
    <row r="27" spans="1:3" x14ac:dyDescent="0.2">
      <c r="A27">
        <v>70</v>
      </c>
      <c r="B27">
        <f t="shared" si="0"/>
        <v>255.5</v>
      </c>
      <c r="C27">
        <f t="shared" si="1"/>
        <v>410.6</v>
      </c>
    </row>
    <row r="28" spans="1:3" x14ac:dyDescent="0.2">
      <c r="A28">
        <v>80</v>
      </c>
      <c r="B28">
        <f t="shared" si="0"/>
        <v>292</v>
      </c>
      <c r="C28">
        <f t="shared" si="1"/>
        <v>428.9</v>
      </c>
    </row>
    <row r="30" spans="1:3" x14ac:dyDescent="0.2">
      <c r="A30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4AB5-7EFD-4A85-99E6-D80CD15EAF0F}">
  <dimension ref="A1:I20"/>
  <sheetViews>
    <sheetView workbookViewId="0">
      <selection activeCell="M16" sqref="M16"/>
    </sheetView>
  </sheetViews>
  <sheetFormatPr baseColWidth="10" defaultColWidth="8.83203125" defaultRowHeight="15" x14ac:dyDescent="0.2"/>
  <sheetData>
    <row r="1" spans="1:9" x14ac:dyDescent="0.2">
      <c r="A1" t="s">
        <v>61</v>
      </c>
    </row>
    <row r="2" spans="1:9" ht="16" thickBot="1" x14ac:dyDescent="0.25"/>
    <row r="3" spans="1:9" x14ac:dyDescent="0.2">
      <c r="A3" s="43" t="s">
        <v>62</v>
      </c>
      <c r="B3" s="43"/>
    </row>
    <row r="4" spans="1:9" x14ac:dyDescent="0.2">
      <c r="A4" t="s">
        <v>63</v>
      </c>
      <c r="B4">
        <v>0.99492181287529458</v>
      </c>
    </row>
    <row r="5" spans="1:9" x14ac:dyDescent="0.2">
      <c r="A5" t="s">
        <v>64</v>
      </c>
      <c r="B5">
        <v>0.98986941373506265</v>
      </c>
    </row>
    <row r="6" spans="1:9" x14ac:dyDescent="0.2">
      <c r="A6" t="s">
        <v>65</v>
      </c>
      <c r="B6">
        <v>0.98607044388571108</v>
      </c>
    </row>
    <row r="7" spans="1:9" x14ac:dyDescent="0.2">
      <c r="A7" t="s">
        <v>66</v>
      </c>
      <c r="B7">
        <v>0.67820837957566682</v>
      </c>
    </row>
    <row r="8" spans="1:9" ht="16" thickBot="1" x14ac:dyDescent="0.25">
      <c r="A8" s="41" t="s">
        <v>67</v>
      </c>
      <c r="B8" s="41">
        <v>12</v>
      </c>
    </row>
    <row r="10" spans="1:9" ht="16" thickBot="1" x14ac:dyDescent="0.25">
      <c r="A10" t="s">
        <v>68</v>
      </c>
    </row>
    <row r="11" spans="1:9" x14ac:dyDescent="0.2">
      <c r="A11" s="42"/>
      <c r="B11" s="42" t="s">
        <v>69</v>
      </c>
      <c r="C11" s="42" t="s">
        <v>70</v>
      </c>
      <c r="D11" s="42" t="s">
        <v>71</v>
      </c>
      <c r="E11" s="42" t="s">
        <v>72</v>
      </c>
      <c r="F11" s="42" t="s">
        <v>73</v>
      </c>
    </row>
    <row r="12" spans="1:9" x14ac:dyDescent="0.2">
      <c r="A12" t="s">
        <v>19</v>
      </c>
      <c r="B12">
        <v>3</v>
      </c>
      <c r="C12">
        <v>359.55026715098671</v>
      </c>
      <c r="D12">
        <v>119.8500890503289</v>
      </c>
      <c r="E12">
        <v>260.56258748777128</v>
      </c>
      <c r="F12">
        <v>2.5814975441607269E-8</v>
      </c>
    </row>
    <row r="13" spans="1:9" x14ac:dyDescent="0.2">
      <c r="A13" t="s">
        <v>74</v>
      </c>
      <c r="B13">
        <v>8</v>
      </c>
      <c r="C13">
        <v>3.6797328490132135</v>
      </c>
      <c r="D13">
        <v>0.45996660612665169</v>
      </c>
    </row>
    <row r="14" spans="1:9" ht="16" thickBot="1" x14ac:dyDescent="0.25">
      <c r="A14" s="41" t="s">
        <v>75</v>
      </c>
      <c r="B14" s="41">
        <v>11</v>
      </c>
      <c r="C14" s="41">
        <v>363.2299999999999</v>
      </c>
      <c r="D14" s="41"/>
      <c r="E14" s="41"/>
      <c r="F14" s="41"/>
    </row>
    <row r="15" spans="1:9" ht="16" thickBot="1" x14ac:dyDescent="0.25"/>
    <row r="16" spans="1:9" x14ac:dyDescent="0.2">
      <c r="A16" s="42"/>
      <c r="B16" s="42" t="s">
        <v>76</v>
      </c>
      <c r="C16" s="42" t="s">
        <v>66</v>
      </c>
      <c r="D16" s="42" t="s">
        <v>77</v>
      </c>
      <c r="E16" s="42" t="s">
        <v>78</v>
      </c>
      <c r="F16" s="42" t="s">
        <v>79</v>
      </c>
      <c r="G16" s="42" t="s">
        <v>80</v>
      </c>
      <c r="H16" s="42" t="s">
        <v>123</v>
      </c>
      <c r="I16" s="42" t="s">
        <v>124</v>
      </c>
    </row>
    <row r="17" spans="1:9" x14ac:dyDescent="0.2">
      <c r="A17" t="s">
        <v>81</v>
      </c>
      <c r="B17">
        <v>68.47030840592636</v>
      </c>
      <c r="C17">
        <v>18.689870820621319</v>
      </c>
      <c r="D17">
        <v>3.6634982158560558</v>
      </c>
      <c r="E17">
        <v>6.3689626618817149E-3</v>
      </c>
      <c r="F17">
        <v>25.3713890071419</v>
      </c>
      <c r="G17">
        <v>111.56922780471082</v>
      </c>
      <c r="H17">
        <v>25.3713890071419</v>
      </c>
      <c r="I17">
        <v>111.56922780471082</v>
      </c>
    </row>
    <row r="18" spans="1:9" x14ac:dyDescent="0.2">
      <c r="A18" t="s">
        <v>152</v>
      </c>
      <c r="B18">
        <v>1.396392073784307</v>
      </c>
      <c r="C18">
        <v>0.11590726733291989</v>
      </c>
      <c r="D18">
        <v>12.047493706960209</v>
      </c>
      <c r="E18">
        <v>2.080282526992359E-6</v>
      </c>
      <c r="F18">
        <v>1.1291094360143787</v>
      </c>
      <c r="G18">
        <v>1.6636747115542352</v>
      </c>
      <c r="H18">
        <v>1.1291094360143787</v>
      </c>
      <c r="I18">
        <v>1.6636747115542352</v>
      </c>
    </row>
    <row r="19" spans="1:9" x14ac:dyDescent="0.2">
      <c r="A19" t="s">
        <v>153</v>
      </c>
      <c r="B19">
        <v>0.38818364981958114</v>
      </c>
      <c r="C19">
        <v>5.276510140753346E-2</v>
      </c>
      <c r="D19">
        <v>7.3568256189148302</v>
      </c>
      <c r="E19">
        <v>7.9416074677942026E-5</v>
      </c>
      <c r="F19">
        <v>0.26650710777934178</v>
      </c>
      <c r="G19">
        <v>0.50986019185982057</v>
      </c>
      <c r="H19">
        <v>0.26650710777934178</v>
      </c>
      <c r="I19">
        <v>0.50986019185982057</v>
      </c>
    </row>
    <row r="20" spans="1:9" ht="16" thickBot="1" x14ac:dyDescent="0.25">
      <c r="A20" s="41" t="s">
        <v>154</v>
      </c>
      <c r="B20" s="41">
        <v>-14.508738746958732</v>
      </c>
      <c r="C20" s="41">
        <v>5.8180435375153161</v>
      </c>
      <c r="D20" s="41">
        <v>-2.4937487410338131</v>
      </c>
      <c r="E20" s="41">
        <v>3.7303658581747501E-2</v>
      </c>
      <c r="F20" s="41">
        <v>-27.925171203266935</v>
      </c>
      <c r="G20" s="41">
        <v>-1.0923062906505319</v>
      </c>
      <c r="H20" s="41">
        <v>-27.925171203266935</v>
      </c>
      <c r="I20" s="41">
        <v>-1.0923062906505319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showGridLines="0" zoomScaleNormal="100" workbookViewId="0">
      <selection activeCell="M33" sqref="M33"/>
    </sheetView>
  </sheetViews>
  <sheetFormatPr baseColWidth="10" defaultColWidth="8.6640625" defaultRowHeight="15" x14ac:dyDescent="0.2"/>
  <cols>
    <col min="1" max="1" width="22" customWidth="1"/>
    <col min="2" max="8" width="13" customWidth="1"/>
    <col min="9" max="9" width="5" customWidth="1"/>
  </cols>
  <sheetData>
    <row r="1" spans="1:9" ht="15.75" customHeight="1" x14ac:dyDescent="0.2">
      <c r="A1" s="52" t="s">
        <v>55</v>
      </c>
      <c r="B1" s="52"/>
      <c r="C1" s="52"/>
      <c r="D1" s="52"/>
      <c r="E1" s="52"/>
      <c r="F1" s="52"/>
      <c r="G1" s="52"/>
      <c r="H1" s="52"/>
      <c r="I1" s="52"/>
    </row>
    <row r="3" spans="1:9" ht="15" customHeight="1" x14ac:dyDescent="0.2">
      <c r="A3" s="53" t="s">
        <v>56</v>
      </c>
      <c r="B3" s="53"/>
      <c r="C3" s="53"/>
      <c r="D3" s="53"/>
      <c r="E3" s="53"/>
      <c r="F3" s="53"/>
      <c r="G3" s="53"/>
      <c r="H3" s="53"/>
      <c r="I3" s="53"/>
    </row>
    <row r="5" spans="1:9" ht="34.5" customHeight="1" x14ac:dyDescent="0.2">
      <c r="A5" s="6" t="s">
        <v>28</v>
      </c>
      <c r="B5" s="6" t="s">
        <v>57</v>
      </c>
      <c r="C5" s="6" t="s">
        <v>58</v>
      </c>
      <c r="D5" s="6" t="s">
        <v>59</v>
      </c>
      <c r="E5" s="6" t="s">
        <v>60</v>
      </c>
    </row>
    <row r="6" spans="1:9" ht="15" customHeight="1" x14ac:dyDescent="0.2">
      <c r="A6" s="21" t="s">
        <v>39</v>
      </c>
      <c r="B6" s="22">
        <v>42.5</v>
      </c>
      <c r="C6" s="23">
        <v>14</v>
      </c>
      <c r="D6" s="22">
        <v>14.2</v>
      </c>
      <c r="E6" s="23">
        <v>3.5</v>
      </c>
    </row>
    <row r="7" spans="1:9" ht="15" customHeight="1" x14ac:dyDescent="0.2">
      <c r="A7" s="24" t="s">
        <v>40</v>
      </c>
      <c r="B7" s="25">
        <v>44</v>
      </c>
      <c r="C7" s="26">
        <v>14.5</v>
      </c>
      <c r="D7" s="25">
        <v>17.399999999999999</v>
      </c>
      <c r="E7" s="26">
        <v>3.5</v>
      </c>
    </row>
    <row r="8" spans="1:9" ht="15" customHeight="1" x14ac:dyDescent="0.2">
      <c r="A8" s="21" t="s">
        <v>41</v>
      </c>
      <c r="B8" s="22">
        <v>48.3</v>
      </c>
      <c r="C8" s="23">
        <v>16</v>
      </c>
      <c r="D8" s="22">
        <v>22.1</v>
      </c>
      <c r="E8" s="23">
        <v>3.6</v>
      </c>
    </row>
    <row r="9" spans="1:9" ht="15" customHeight="1" x14ac:dyDescent="0.2">
      <c r="A9" s="24" t="s">
        <v>42</v>
      </c>
      <c r="B9" s="25">
        <v>51.2</v>
      </c>
      <c r="C9" s="26">
        <v>17.5</v>
      </c>
      <c r="D9" s="25">
        <v>28.3</v>
      </c>
      <c r="E9" s="26">
        <v>3.6</v>
      </c>
    </row>
    <row r="10" spans="1:9" ht="15" customHeight="1" x14ac:dyDescent="0.2">
      <c r="A10" s="21" t="s">
        <v>43</v>
      </c>
      <c r="B10" s="22">
        <v>55.8</v>
      </c>
      <c r="C10" s="23">
        <v>19.5</v>
      </c>
      <c r="D10" s="22">
        <v>33.799999999999997</v>
      </c>
      <c r="E10" s="23">
        <v>3.7</v>
      </c>
    </row>
    <row r="11" spans="1:9" ht="15" customHeight="1" x14ac:dyDescent="0.2">
      <c r="A11" s="24" t="s">
        <v>44</v>
      </c>
      <c r="B11" s="25">
        <v>61.4</v>
      </c>
      <c r="C11" s="26">
        <v>22.5</v>
      </c>
      <c r="D11" s="25">
        <v>38.9</v>
      </c>
      <c r="E11" s="26">
        <v>3.7</v>
      </c>
    </row>
    <row r="12" spans="1:9" ht="15" customHeight="1" x14ac:dyDescent="0.2">
      <c r="A12" s="21" t="s">
        <v>45</v>
      </c>
      <c r="B12" s="22">
        <v>58.9</v>
      </c>
      <c r="C12" s="23">
        <v>21</v>
      </c>
      <c r="D12" s="22">
        <v>41.2</v>
      </c>
      <c r="E12" s="23">
        <v>3.8</v>
      </c>
    </row>
    <row r="13" spans="1:9" ht="15" customHeight="1" x14ac:dyDescent="0.2">
      <c r="A13" s="24" t="s">
        <v>46</v>
      </c>
      <c r="B13" s="25">
        <v>56.3</v>
      </c>
      <c r="C13" s="26">
        <v>20</v>
      </c>
      <c r="D13" s="25">
        <v>40.799999999999997</v>
      </c>
      <c r="E13" s="26">
        <v>3.8</v>
      </c>
    </row>
    <row r="14" spans="1:9" ht="15" customHeight="1" x14ac:dyDescent="0.2">
      <c r="A14" s="21" t="s">
        <v>47</v>
      </c>
      <c r="B14" s="22">
        <v>53.7</v>
      </c>
      <c r="C14" s="23">
        <v>18</v>
      </c>
      <c r="D14" s="22">
        <v>35.5</v>
      </c>
      <c r="E14" s="23">
        <v>3.7</v>
      </c>
    </row>
    <row r="15" spans="1:9" ht="15" customHeight="1" x14ac:dyDescent="0.2">
      <c r="A15" s="24" t="s">
        <v>48</v>
      </c>
      <c r="B15" s="25">
        <v>50.1</v>
      </c>
      <c r="C15" s="26">
        <v>16.5</v>
      </c>
      <c r="D15" s="25">
        <v>28.7</v>
      </c>
      <c r="E15" s="26">
        <v>3.6</v>
      </c>
    </row>
    <row r="16" spans="1:9" ht="15" customHeight="1" x14ac:dyDescent="0.2">
      <c r="A16" s="21" t="s">
        <v>49</v>
      </c>
      <c r="B16" s="22">
        <v>47.6</v>
      </c>
      <c r="C16" s="23">
        <v>15</v>
      </c>
      <c r="D16" s="22">
        <v>21.6</v>
      </c>
      <c r="E16" s="23">
        <v>3.5</v>
      </c>
    </row>
    <row r="17" spans="1:5" ht="15" customHeight="1" x14ac:dyDescent="0.2">
      <c r="A17" s="24" t="s">
        <v>50</v>
      </c>
      <c r="B17" s="25">
        <v>52.4</v>
      </c>
      <c r="C17" s="26">
        <v>21.5</v>
      </c>
      <c r="D17" s="25">
        <v>16.3</v>
      </c>
      <c r="E17" s="26">
        <v>3.6</v>
      </c>
    </row>
    <row r="20" spans="1:5" ht="15" customHeight="1" x14ac:dyDescent="0.2"/>
    <row r="21" spans="1:5" ht="15" customHeight="1" x14ac:dyDescent="0.2"/>
    <row r="22" spans="1:5" ht="15" customHeight="1" x14ac:dyDescent="0.2"/>
    <row r="23" spans="1:5" ht="15" customHeight="1" x14ac:dyDescent="0.2"/>
    <row r="24" spans="1:5" ht="15" customHeight="1" x14ac:dyDescent="0.2"/>
    <row r="25" spans="1:5" ht="15" customHeight="1" x14ac:dyDescent="0.2"/>
    <row r="26" spans="1:5" ht="15" customHeight="1" x14ac:dyDescent="0.2"/>
    <row r="27" spans="1:5" ht="15" customHeight="1" x14ac:dyDescent="0.2"/>
    <row r="28" spans="1:5" ht="15" customHeight="1" x14ac:dyDescent="0.2"/>
    <row r="29" spans="1:5" ht="15" customHeight="1" x14ac:dyDescent="0.2"/>
    <row r="32" spans="1:5" ht="15" customHeight="1" x14ac:dyDescent="0.2"/>
    <row r="33" customFormat="1" ht="15" customHeight="1" x14ac:dyDescent="0.2"/>
    <row r="34" customFormat="1" ht="15" customHeight="1" x14ac:dyDescent="0.2"/>
    <row r="35" customFormat="1" ht="15" customHeight="1" x14ac:dyDescent="0.2"/>
    <row r="36" customFormat="1" ht="15" customHeight="1" x14ac:dyDescent="0.2"/>
    <row r="37" customFormat="1" x14ac:dyDescent="0.2"/>
    <row r="38" customFormat="1" ht="15" customHeight="1" x14ac:dyDescent="0.2"/>
    <row r="39" customFormat="1" ht="15" customHeight="1" x14ac:dyDescent="0.2"/>
    <row r="40" customFormat="1" ht="15" customHeight="1" x14ac:dyDescent="0.2"/>
    <row r="41" customFormat="1" ht="15" customHeight="1" x14ac:dyDescent="0.2"/>
    <row r="42" customFormat="1" ht="15" customHeight="1" x14ac:dyDescent="0.2"/>
    <row r="43" customFormat="1" x14ac:dyDescent="0.2"/>
    <row r="44" customFormat="1" ht="15" customHeight="1" x14ac:dyDescent="0.2"/>
    <row r="45" customFormat="1" ht="15" customHeight="1" x14ac:dyDescent="0.2"/>
    <row r="46" customFormat="1" ht="15" customHeight="1" x14ac:dyDescent="0.2"/>
    <row r="47" customFormat="1" ht="15" customHeight="1" x14ac:dyDescent="0.2"/>
    <row r="48" customFormat="1" ht="15" customHeight="1" x14ac:dyDescent="0.2"/>
    <row r="49" customFormat="1" ht="15" customHeight="1" x14ac:dyDescent="0.2"/>
    <row r="50" customFormat="1" ht="15" customHeight="1" x14ac:dyDescent="0.2"/>
    <row r="51" customFormat="1" x14ac:dyDescent="0.2"/>
  </sheetData>
  <mergeCells count="2">
    <mergeCell ref="A1:I1"/>
    <mergeCell ref="A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"/>
  <sheetViews>
    <sheetView showGridLines="0" topLeftCell="A14" zoomScaleNormal="100" workbookViewId="0">
      <selection activeCell="D26" sqref="D26"/>
    </sheetView>
  </sheetViews>
  <sheetFormatPr baseColWidth="10" defaultColWidth="8.6640625" defaultRowHeight="15" x14ac:dyDescent="0.2"/>
  <cols>
    <col min="1" max="1" width="31.83203125" customWidth="1"/>
    <col min="2" max="2" width="10" customWidth="1"/>
    <col min="3" max="3" width="12" customWidth="1"/>
    <col min="4" max="4" width="53.1640625" customWidth="1"/>
    <col min="5" max="7" width="12" customWidth="1"/>
    <col min="8" max="8" width="16" customWidth="1"/>
    <col min="9" max="11" width="12" customWidth="1"/>
    <col min="12" max="12" width="22" customWidth="1"/>
  </cols>
  <sheetData>
    <row r="1" spans="1:12" ht="15.75" customHeight="1" x14ac:dyDescent="0.2">
      <c r="A1" s="52" t="s">
        <v>82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3" spans="1:12" ht="15" customHeight="1" x14ac:dyDescent="0.2">
      <c r="A3" s="54" t="s">
        <v>83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ht="15" customHeight="1" x14ac:dyDescent="0.2">
      <c r="A4" s="1" t="s">
        <v>84</v>
      </c>
      <c r="D4" s="27">
        <v>0.35</v>
      </c>
      <c r="E4" s="28"/>
    </row>
    <row r="5" spans="1:12" ht="15" customHeight="1" x14ac:dyDescent="0.2">
      <c r="A5" s="1" t="s">
        <v>85</v>
      </c>
      <c r="D5" s="29">
        <v>3</v>
      </c>
      <c r="E5" s="28" t="s">
        <v>86</v>
      </c>
    </row>
    <row r="7" spans="1:12" ht="34.5" customHeight="1" x14ac:dyDescent="0.2">
      <c r="A7" s="30" t="s">
        <v>87</v>
      </c>
      <c r="B7" s="30" t="s">
        <v>28</v>
      </c>
      <c r="C7" s="30" t="s">
        <v>88</v>
      </c>
      <c r="D7" s="30" t="s">
        <v>89</v>
      </c>
      <c r="E7" s="30" t="s">
        <v>90</v>
      </c>
      <c r="F7" s="30" t="s">
        <v>91</v>
      </c>
      <c r="G7" s="30" t="s">
        <v>92</v>
      </c>
      <c r="H7" s="30" t="s">
        <v>93</v>
      </c>
      <c r="I7" s="30" t="s">
        <v>94</v>
      </c>
      <c r="J7" s="30" t="s">
        <v>95</v>
      </c>
      <c r="K7" s="30" t="s">
        <v>96</v>
      </c>
      <c r="L7" s="30" t="s">
        <v>97</v>
      </c>
    </row>
    <row r="8" spans="1:12" ht="15" customHeight="1" x14ac:dyDescent="0.2">
      <c r="A8" s="31">
        <v>1</v>
      </c>
      <c r="B8" s="7" t="s">
        <v>39</v>
      </c>
      <c r="C8" s="8">
        <v>42.5</v>
      </c>
      <c r="D8" s="32" t="s">
        <v>98</v>
      </c>
      <c r="E8" s="32" t="s">
        <v>98</v>
      </c>
      <c r="F8" s="32" t="s">
        <v>98</v>
      </c>
      <c r="G8" s="32" t="s">
        <v>98</v>
      </c>
      <c r="H8" s="32">
        <v>42.5</v>
      </c>
      <c r="I8" s="32" t="s">
        <v>98</v>
      </c>
      <c r="J8" s="32" t="s">
        <v>98</v>
      </c>
      <c r="K8" s="32" t="s">
        <v>98</v>
      </c>
      <c r="L8" s="33" t="s">
        <v>99</v>
      </c>
    </row>
    <row r="9" spans="1:12" ht="15" customHeight="1" x14ac:dyDescent="0.2">
      <c r="A9" s="34">
        <v>2</v>
      </c>
      <c r="B9" s="11" t="s">
        <v>40</v>
      </c>
      <c r="C9" s="12">
        <v>44</v>
      </c>
      <c r="D9" s="35" t="s">
        <v>98</v>
      </c>
      <c r="E9" s="35" t="s">
        <v>98</v>
      </c>
      <c r="F9" s="35" t="s">
        <v>98</v>
      </c>
      <c r="G9" s="35" t="s">
        <v>98</v>
      </c>
      <c r="H9" s="13">
        <f t="shared" ref="H9:H19" si="0">H8+$D$4*(C8-H8)</f>
        <v>42.5</v>
      </c>
      <c r="I9" s="13">
        <f t="shared" ref="I9:I19" si="1">C9-H9</f>
        <v>1.5</v>
      </c>
      <c r="J9" s="13">
        <f t="shared" ref="J9:J19" si="2">ABS(I9)</f>
        <v>1.5</v>
      </c>
      <c r="K9" s="13">
        <f t="shared" ref="K9:K19" si="3">I9^2</f>
        <v>2.25</v>
      </c>
      <c r="L9" s="36" t="s">
        <v>100</v>
      </c>
    </row>
    <row r="10" spans="1:12" ht="15" customHeight="1" x14ac:dyDescent="0.2">
      <c r="A10" s="31">
        <v>3</v>
      </c>
      <c r="B10" s="7" t="s">
        <v>41</v>
      </c>
      <c r="C10" s="8">
        <v>48.3</v>
      </c>
      <c r="D10" s="32" t="s">
        <v>98</v>
      </c>
      <c r="E10" s="32" t="s">
        <v>98</v>
      </c>
      <c r="F10" s="32" t="s">
        <v>98</v>
      </c>
      <c r="G10" s="32" t="s">
        <v>98</v>
      </c>
      <c r="H10" s="9">
        <f t="shared" si="0"/>
        <v>43.024999999999999</v>
      </c>
      <c r="I10" s="9">
        <f t="shared" si="1"/>
        <v>5.2749999999999986</v>
      </c>
      <c r="J10" s="9">
        <f t="shared" si="2"/>
        <v>5.2749999999999986</v>
      </c>
      <c r="K10" s="9">
        <f t="shared" si="3"/>
        <v>27.825624999999985</v>
      </c>
      <c r="L10" s="33"/>
    </row>
    <row r="11" spans="1:12" ht="15" customHeight="1" x14ac:dyDescent="0.2">
      <c r="A11" s="34">
        <v>4</v>
      </c>
      <c r="B11" s="11" t="s">
        <v>42</v>
      </c>
      <c r="C11" s="12">
        <v>51.2</v>
      </c>
      <c r="D11" s="13">
        <f t="shared" ref="D11:D19" si="4">AVERAGE(C8:C10)</f>
        <v>44.933333333333337</v>
      </c>
      <c r="E11" s="13">
        <f t="shared" ref="E11:E19" si="5">C11-D11</f>
        <v>6.2666666666666657</v>
      </c>
      <c r="F11" s="13">
        <f t="shared" ref="F11:F19" si="6">ABS(E11)</f>
        <v>6.2666666666666657</v>
      </c>
      <c r="G11" s="13">
        <f t="shared" ref="G11:G19" si="7">E11^2</f>
        <v>39.271111111111097</v>
      </c>
      <c r="H11" s="13">
        <f t="shared" si="0"/>
        <v>44.871249999999996</v>
      </c>
      <c r="I11" s="13">
        <f t="shared" si="1"/>
        <v>6.3287500000000065</v>
      </c>
      <c r="J11" s="13">
        <f t="shared" si="2"/>
        <v>6.3287500000000065</v>
      </c>
      <c r="K11" s="13">
        <f t="shared" si="3"/>
        <v>40.053076562500081</v>
      </c>
      <c r="L11" s="36" t="s">
        <v>101</v>
      </c>
    </row>
    <row r="12" spans="1:12" ht="15" customHeight="1" x14ac:dyDescent="0.2">
      <c r="A12" s="31">
        <v>5</v>
      </c>
      <c r="B12" s="7" t="s">
        <v>43</v>
      </c>
      <c r="C12" s="8">
        <v>55.8</v>
      </c>
      <c r="D12" s="9">
        <f t="shared" si="4"/>
        <v>47.833333333333336</v>
      </c>
      <c r="E12" s="9">
        <f t="shared" si="5"/>
        <v>7.9666666666666615</v>
      </c>
      <c r="F12" s="9">
        <f t="shared" si="6"/>
        <v>7.9666666666666615</v>
      </c>
      <c r="G12" s="9">
        <f t="shared" si="7"/>
        <v>63.467777777777698</v>
      </c>
      <c r="H12" s="9">
        <f t="shared" si="0"/>
        <v>47.086312499999998</v>
      </c>
      <c r="I12" s="9">
        <f t="shared" si="1"/>
        <v>8.7136874999999989</v>
      </c>
      <c r="J12" s="9">
        <f t="shared" si="2"/>
        <v>8.7136874999999989</v>
      </c>
      <c r="K12" s="9">
        <f t="shared" si="3"/>
        <v>75.928349847656236</v>
      </c>
      <c r="L12" s="33"/>
    </row>
    <row r="13" spans="1:12" ht="15" customHeight="1" x14ac:dyDescent="0.2">
      <c r="A13" s="34">
        <v>6</v>
      </c>
      <c r="B13" s="11" t="s">
        <v>44</v>
      </c>
      <c r="C13" s="12">
        <v>61.4</v>
      </c>
      <c r="D13" s="13">
        <f t="shared" si="4"/>
        <v>51.766666666666673</v>
      </c>
      <c r="E13" s="13">
        <f t="shared" si="5"/>
        <v>9.6333333333333258</v>
      </c>
      <c r="F13" s="13">
        <f t="shared" si="6"/>
        <v>9.6333333333333258</v>
      </c>
      <c r="G13" s="13">
        <f t="shared" si="7"/>
        <v>92.80111111111097</v>
      </c>
      <c r="H13" s="13">
        <f t="shared" si="0"/>
        <v>50.136103124999998</v>
      </c>
      <c r="I13" s="13">
        <f t="shared" si="1"/>
        <v>11.263896875</v>
      </c>
      <c r="J13" s="13">
        <f t="shared" si="2"/>
        <v>11.263896875</v>
      </c>
      <c r="K13" s="13">
        <f t="shared" si="3"/>
        <v>126.87537281063477</v>
      </c>
      <c r="L13" s="36"/>
    </row>
    <row r="14" spans="1:12" ht="15" customHeight="1" x14ac:dyDescent="0.2">
      <c r="A14" s="31">
        <v>7</v>
      </c>
      <c r="B14" s="7" t="s">
        <v>45</v>
      </c>
      <c r="C14" s="8">
        <v>58.9</v>
      </c>
      <c r="D14" s="9">
        <f t="shared" si="4"/>
        <v>56.133333333333333</v>
      </c>
      <c r="E14" s="9">
        <f t="shared" si="5"/>
        <v>2.7666666666666657</v>
      </c>
      <c r="F14" s="9">
        <f t="shared" si="6"/>
        <v>2.7666666666666657</v>
      </c>
      <c r="G14" s="9">
        <f t="shared" si="7"/>
        <v>7.6544444444444393</v>
      </c>
      <c r="H14" s="9">
        <f t="shared" si="0"/>
        <v>54.07846703125</v>
      </c>
      <c r="I14" s="9">
        <f t="shared" si="1"/>
        <v>4.8215329687499988</v>
      </c>
      <c r="J14" s="9">
        <f t="shared" si="2"/>
        <v>4.8215329687499988</v>
      </c>
      <c r="K14" s="9">
        <f t="shared" si="3"/>
        <v>23.247180168743178</v>
      </c>
      <c r="L14" s="33"/>
    </row>
    <row r="15" spans="1:12" ht="15" customHeight="1" x14ac:dyDescent="0.2">
      <c r="A15" s="34">
        <v>8</v>
      </c>
      <c r="B15" s="11" t="s">
        <v>46</v>
      </c>
      <c r="C15" s="12">
        <v>56.3</v>
      </c>
      <c r="D15" s="13">
        <f t="shared" si="4"/>
        <v>58.699999999999996</v>
      </c>
      <c r="E15" s="13">
        <f t="shared" si="5"/>
        <v>-2.3999999999999986</v>
      </c>
      <c r="F15" s="13">
        <f t="shared" si="6"/>
        <v>2.3999999999999986</v>
      </c>
      <c r="G15" s="13">
        <f t="shared" si="7"/>
        <v>5.7599999999999936</v>
      </c>
      <c r="H15" s="13">
        <f t="shared" si="0"/>
        <v>55.766003570312499</v>
      </c>
      <c r="I15" s="13">
        <f t="shared" si="1"/>
        <v>0.53399642968749816</v>
      </c>
      <c r="J15" s="13">
        <f t="shared" si="2"/>
        <v>0.53399642968749816</v>
      </c>
      <c r="K15" s="13">
        <f t="shared" si="3"/>
        <v>0.28515218691899519</v>
      </c>
      <c r="L15" s="36"/>
    </row>
    <row r="16" spans="1:12" ht="15" customHeight="1" x14ac:dyDescent="0.2">
      <c r="A16" s="31">
        <v>9</v>
      </c>
      <c r="B16" s="7" t="s">
        <v>47</v>
      </c>
      <c r="C16" s="8">
        <v>53.7</v>
      </c>
      <c r="D16" s="9">
        <f t="shared" si="4"/>
        <v>58.866666666666667</v>
      </c>
      <c r="E16" s="9">
        <f t="shared" si="5"/>
        <v>-5.1666666666666643</v>
      </c>
      <c r="F16" s="9">
        <f t="shared" si="6"/>
        <v>5.1666666666666643</v>
      </c>
      <c r="G16" s="9">
        <f t="shared" si="7"/>
        <v>26.694444444444422</v>
      </c>
      <c r="H16" s="9">
        <f t="shared" si="0"/>
        <v>55.952902320703124</v>
      </c>
      <c r="I16" s="9">
        <f t="shared" si="1"/>
        <v>-2.2529023207031216</v>
      </c>
      <c r="J16" s="9">
        <f t="shared" si="2"/>
        <v>2.2529023207031216</v>
      </c>
      <c r="K16" s="9">
        <f t="shared" si="3"/>
        <v>5.0755688666295109</v>
      </c>
      <c r="L16" s="33"/>
    </row>
    <row r="17" spans="1:12" ht="15" customHeight="1" x14ac:dyDescent="0.2">
      <c r="A17" s="34">
        <v>10</v>
      </c>
      <c r="B17" s="11" t="s">
        <v>48</v>
      </c>
      <c r="C17" s="12">
        <v>50.1</v>
      </c>
      <c r="D17" s="13">
        <f t="shared" si="4"/>
        <v>56.29999999999999</v>
      </c>
      <c r="E17" s="13">
        <f t="shared" si="5"/>
        <v>-6.1999999999999886</v>
      </c>
      <c r="F17" s="13">
        <f t="shared" si="6"/>
        <v>6.1999999999999886</v>
      </c>
      <c r="G17" s="13">
        <f t="shared" si="7"/>
        <v>38.439999999999856</v>
      </c>
      <c r="H17" s="13">
        <f t="shared" si="0"/>
        <v>55.164386508457035</v>
      </c>
      <c r="I17" s="13">
        <f t="shared" si="1"/>
        <v>-5.0643865084570336</v>
      </c>
      <c r="J17" s="13">
        <f t="shared" si="2"/>
        <v>5.0643865084570336</v>
      </c>
      <c r="K17" s="13">
        <f t="shared" si="3"/>
        <v>25.648010707041625</v>
      </c>
      <c r="L17" s="36"/>
    </row>
    <row r="18" spans="1:12" ht="15" customHeight="1" x14ac:dyDescent="0.2">
      <c r="A18" s="31">
        <v>11</v>
      </c>
      <c r="B18" s="7" t="s">
        <v>49</v>
      </c>
      <c r="C18" s="8">
        <v>47.6</v>
      </c>
      <c r="D18" s="9">
        <f t="shared" si="4"/>
        <v>53.366666666666667</v>
      </c>
      <c r="E18" s="9">
        <f t="shared" si="5"/>
        <v>-5.7666666666666657</v>
      </c>
      <c r="F18" s="9">
        <f t="shared" si="6"/>
        <v>5.7666666666666657</v>
      </c>
      <c r="G18" s="9">
        <f t="shared" si="7"/>
        <v>33.254444444444431</v>
      </c>
      <c r="H18" s="9">
        <f t="shared" si="0"/>
        <v>53.391851230497075</v>
      </c>
      <c r="I18" s="9">
        <f t="shared" si="1"/>
        <v>-5.7918512304970733</v>
      </c>
      <c r="J18" s="9">
        <f t="shared" si="2"/>
        <v>5.7918512304970733</v>
      </c>
      <c r="K18" s="9">
        <f t="shared" si="3"/>
        <v>33.545540676210464</v>
      </c>
      <c r="L18" s="33"/>
    </row>
    <row r="19" spans="1:12" ht="15" customHeight="1" x14ac:dyDescent="0.2">
      <c r="A19" s="34">
        <v>12</v>
      </c>
      <c r="B19" s="11" t="s">
        <v>50</v>
      </c>
      <c r="C19" s="12">
        <v>52.4</v>
      </c>
      <c r="D19" s="13">
        <f t="shared" si="4"/>
        <v>50.466666666666669</v>
      </c>
      <c r="E19" s="13">
        <f t="shared" si="5"/>
        <v>1.93333333333333</v>
      </c>
      <c r="F19" s="13">
        <f t="shared" si="6"/>
        <v>1.93333333333333</v>
      </c>
      <c r="G19" s="13">
        <f t="shared" si="7"/>
        <v>3.7377777777777648</v>
      </c>
      <c r="H19" s="13">
        <f t="shared" si="0"/>
        <v>51.364703299823098</v>
      </c>
      <c r="I19" s="13">
        <f t="shared" si="1"/>
        <v>1.0352967001769002</v>
      </c>
      <c r="J19" s="13">
        <f t="shared" si="2"/>
        <v>1.0352967001769002</v>
      </c>
      <c r="K19" s="13">
        <f t="shared" si="3"/>
        <v>1.0718392573971784</v>
      </c>
      <c r="L19" s="36"/>
    </row>
    <row r="22" spans="1:12" ht="15" customHeight="1" x14ac:dyDescent="0.2">
      <c r="A22" s="55" t="s">
        <v>102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</row>
    <row r="23" spans="1:12" ht="32.25" customHeight="1" x14ac:dyDescent="0.2">
      <c r="A23" s="20" t="s">
        <v>103</v>
      </c>
      <c r="B23" s="20" t="s">
        <v>104</v>
      </c>
      <c r="C23" s="20" t="s">
        <v>105</v>
      </c>
      <c r="D23" s="20" t="s">
        <v>106</v>
      </c>
    </row>
    <row r="24" spans="1:12" ht="15" customHeight="1" x14ac:dyDescent="0.2">
      <c r="A24" s="19" t="s">
        <v>107</v>
      </c>
      <c r="B24" s="18">
        <f>AVERAGE(F11:F19)</f>
        <v>5.3444444444444406</v>
      </c>
      <c r="C24" s="18">
        <f>AVERAGE(J9:J19)</f>
        <v>4.780118230297421</v>
      </c>
      <c r="D24" s="37" t="s">
        <v>203</v>
      </c>
    </row>
    <row r="25" spans="1:12" ht="15" customHeight="1" x14ac:dyDescent="0.2">
      <c r="A25" s="19" t="s">
        <v>108</v>
      </c>
      <c r="B25" s="18">
        <f>AVERAGE(G11:G19)</f>
        <v>34.564567901234518</v>
      </c>
      <c r="C25" s="18">
        <f>AVERAGE(K9:K19)</f>
        <v>32.891428734884727</v>
      </c>
      <c r="D25" s="37" t="s">
        <v>203</v>
      </c>
    </row>
    <row r="26" spans="1:12" ht="15" customHeight="1" x14ac:dyDescent="0.2">
      <c r="A26" s="19" t="s">
        <v>109</v>
      </c>
      <c r="B26" s="18">
        <f>SQRT(AVERAGE(G11:G19))</f>
        <v>5.8791638777324895</v>
      </c>
      <c r="C26" s="18">
        <f>SQRT(AVERAGE(K9:K19))</f>
        <v>5.7351049454116119</v>
      </c>
      <c r="D26" s="37" t="s">
        <v>203</v>
      </c>
    </row>
    <row r="29" spans="1:12" ht="15" customHeight="1" x14ac:dyDescent="0.2">
      <c r="A29" s="55" t="s">
        <v>110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</row>
    <row r="30" spans="1:12" ht="21.75" customHeight="1" x14ac:dyDescent="0.2">
      <c r="A30" s="20" t="s">
        <v>87</v>
      </c>
      <c r="B30" s="20" t="s">
        <v>28</v>
      </c>
      <c r="C30" s="20" t="s">
        <v>111</v>
      </c>
      <c r="D30" s="20" t="s">
        <v>112</v>
      </c>
    </row>
    <row r="31" spans="1:12" ht="15" customHeight="1" x14ac:dyDescent="0.2">
      <c r="A31" s="38">
        <v>13</v>
      </c>
      <c r="B31" s="38" t="s">
        <v>113</v>
      </c>
      <c r="C31" s="39">
        <f>H19+$D$4*(C19-H19)</f>
        <v>51.727057144885016</v>
      </c>
      <c r="D31" s="40" t="s">
        <v>114</v>
      </c>
    </row>
    <row r="32" spans="1:12" ht="15" customHeight="1" x14ac:dyDescent="0.2">
      <c r="A32" s="38">
        <v>14</v>
      </c>
      <c r="B32" s="38" t="s">
        <v>115</v>
      </c>
      <c r="C32" s="39">
        <f>C31</f>
        <v>51.727057144885016</v>
      </c>
      <c r="D32" s="40" t="s">
        <v>116</v>
      </c>
    </row>
    <row r="33" spans="1:4" ht="15" customHeight="1" x14ac:dyDescent="0.2">
      <c r="A33" s="38">
        <v>15</v>
      </c>
      <c r="B33" s="38" t="s">
        <v>117</v>
      </c>
      <c r="C33" s="39">
        <f>C32</f>
        <v>51.727057144885016</v>
      </c>
      <c r="D33" s="40" t="s">
        <v>118</v>
      </c>
    </row>
  </sheetData>
  <mergeCells count="4">
    <mergeCell ref="A1:L1"/>
    <mergeCell ref="A3:L3"/>
    <mergeCell ref="A22:L22"/>
    <mergeCell ref="A29:L2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294C-77BB-4705-A90A-7C8C9B6CF608}">
  <dimension ref="A1:H19"/>
  <sheetViews>
    <sheetView showGridLines="0" topLeftCell="A2" workbookViewId="0">
      <selection activeCell="E4" sqref="E4"/>
    </sheetView>
  </sheetViews>
  <sheetFormatPr baseColWidth="10" defaultColWidth="8.83203125" defaultRowHeight="15" x14ac:dyDescent="0.2"/>
  <cols>
    <col min="1" max="1" width="2.33203125" customWidth="1"/>
    <col min="2" max="2" width="18.83203125" customWidth="1"/>
    <col min="3" max="3" width="28.1640625" bestFit="1" customWidth="1"/>
    <col min="4" max="4" width="12" bestFit="1" customWidth="1"/>
    <col min="5" max="5" width="12.6640625" bestFit="1" customWidth="1"/>
    <col min="6" max="6" width="10.1640625" bestFit="1" customWidth="1"/>
    <col min="7" max="8" width="12" bestFit="1" customWidth="1"/>
  </cols>
  <sheetData>
    <row r="1" spans="1:8" x14ac:dyDescent="0.2">
      <c r="A1" s="44"/>
    </row>
    <row r="2" spans="1:8" x14ac:dyDescent="0.2">
      <c r="A2" s="44"/>
    </row>
    <row r="3" spans="1:8" x14ac:dyDescent="0.2">
      <c r="A3" s="44"/>
    </row>
    <row r="6" spans="1:8" ht="16" thickBot="1" x14ac:dyDescent="0.25">
      <c r="A6" t="s">
        <v>125</v>
      </c>
    </row>
    <row r="7" spans="1:8" x14ac:dyDescent="0.2">
      <c r="B7" s="56"/>
      <c r="C7" s="56"/>
      <c r="D7" s="56" t="s">
        <v>128</v>
      </c>
      <c r="E7" s="56" t="s">
        <v>130</v>
      </c>
      <c r="F7" s="56" t="s">
        <v>132</v>
      </c>
      <c r="G7" s="56" t="s">
        <v>134</v>
      </c>
      <c r="H7" s="56" t="s">
        <v>134</v>
      </c>
    </row>
    <row r="8" spans="1:8" ht="16" thickBot="1" x14ac:dyDescent="0.25">
      <c r="B8" s="57" t="s">
        <v>126</v>
      </c>
      <c r="C8" s="57" t="s">
        <v>127</v>
      </c>
      <c r="D8" s="57" t="s">
        <v>129</v>
      </c>
      <c r="E8" s="57" t="s">
        <v>131</v>
      </c>
      <c r="F8" s="57" t="s">
        <v>133</v>
      </c>
      <c r="G8" s="57" t="s">
        <v>135</v>
      </c>
      <c r="H8" s="57" t="s">
        <v>136</v>
      </c>
    </row>
    <row r="9" spans="1:8" x14ac:dyDescent="0.2">
      <c r="B9" s="45" t="s">
        <v>141</v>
      </c>
      <c r="C9" s="45" t="s">
        <v>120</v>
      </c>
      <c r="D9" s="45">
        <v>500.00000000000091</v>
      </c>
      <c r="E9" s="45">
        <v>0</v>
      </c>
      <c r="F9" s="45">
        <v>1.82</v>
      </c>
      <c r="G9" s="45">
        <v>4.666666666666669E-2</v>
      </c>
      <c r="H9" s="45">
        <v>1E+30</v>
      </c>
    </row>
    <row r="10" spans="1:8" x14ac:dyDescent="0.2">
      <c r="B10" s="45" t="s">
        <v>142</v>
      </c>
      <c r="C10" s="45" t="s">
        <v>121</v>
      </c>
      <c r="D10" s="45">
        <v>300</v>
      </c>
      <c r="E10" s="45">
        <v>-0.81333333333333335</v>
      </c>
      <c r="F10" s="45">
        <v>1.8</v>
      </c>
      <c r="G10" s="45">
        <v>0.81333333333333335</v>
      </c>
      <c r="H10" s="45">
        <v>1E+30</v>
      </c>
    </row>
    <row r="11" spans="1:8" ht="16" thickBot="1" x14ac:dyDescent="0.25">
      <c r="B11" s="46" t="s">
        <v>143</v>
      </c>
      <c r="C11" s="46" t="s">
        <v>122</v>
      </c>
      <c r="D11" s="46">
        <v>5644.4444444444443</v>
      </c>
      <c r="E11" s="46">
        <v>0</v>
      </c>
      <c r="F11" s="46">
        <v>1.68</v>
      </c>
      <c r="G11" s="46">
        <v>1E+30</v>
      </c>
      <c r="H11" s="46">
        <v>4.2000000000000037E-2</v>
      </c>
    </row>
    <row r="13" spans="1:8" ht="16" thickBot="1" x14ac:dyDescent="0.25">
      <c r="A13" t="s">
        <v>137</v>
      </c>
    </row>
    <row r="14" spans="1:8" x14ac:dyDescent="0.2">
      <c r="B14" s="56"/>
      <c r="C14" s="56"/>
      <c r="D14" s="56" t="s">
        <v>128</v>
      </c>
      <c r="E14" s="56" t="s">
        <v>138</v>
      </c>
      <c r="F14" s="56" t="s">
        <v>119</v>
      </c>
      <c r="G14" s="56" t="s">
        <v>134</v>
      </c>
      <c r="H14" s="56" t="s">
        <v>134</v>
      </c>
    </row>
    <row r="15" spans="1:8" ht="16" thickBot="1" x14ac:dyDescent="0.25">
      <c r="B15" s="57" t="s">
        <v>126</v>
      </c>
      <c r="C15" s="57" t="s">
        <v>127</v>
      </c>
      <c r="D15" s="57" t="s">
        <v>129</v>
      </c>
      <c r="E15" s="57" t="s">
        <v>139</v>
      </c>
      <c r="F15" s="57" t="s">
        <v>140</v>
      </c>
      <c r="G15" s="57" t="s">
        <v>135</v>
      </c>
      <c r="H15" s="57" t="s">
        <v>136</v>
      </c>
    </row>
    <row r="16" spans="1:8" ht="48" x14ac:dyDescent="0.2">
      <c r="B16" s="45" t="s">
        <v>144</v>
      </c>
      <c r="C16" s="47" t="s">
        <v>145</v>
      </c>
      <c r="D16" s="45">
        <v>414.66666666666669</v>
      </c>
      <c r="E16" s="45">
        <v>0</v>
      </c>
      <c r="F16" s="45">
        <v>480</v>
      </c>
      <c r="G16" s="45">
        <v>1E+30</v>
      </c>
      <c r="H16" s="45">
        <v>65.3333333333333</v>
      </c>
    </row>
    <row r="17" spans="2:8" ht="48" x14ac:dyDescent="0.2">
      <c r="B17" s="45" t="s">
        <v>146</v>
      </c>
      <c r="C17" s="47" t="s">
        <v>147</v>
      </c>
      <c r="D17" s="45">
        <v>600.00000000000011</v>
      </c>
      <c r="E17" s="45">
        <v>18.666666666666668</v>
      </c>
      <c r="F17" s="45">
        <v>600</v>
      </c>
      <c r="G17" s="45">
        <v>97.999999999999943</v>
      </c>
      <c r="H17" s="45">
        <v>472</v>
      </c>
    </row>
    <row r="18" spans="2:8" ht="48" x14ac:dyDescent="0.2">
      <c r="B18" s="45" t="s">
        <v>148</v>
      </c>
      <c r="C18" s="47" t="s">
        <v>149</v>
      </c>
      <c r="D18" s="45">
        <v>1575.1111111111113</v>
      </c>
      <c r="E18" s="45">
        <v>0</v>
      </c>
      <c r="F18" s="45">
        <v>14000</v>
      </c>
      <c r="G18" s="45">
        <v>1E+30</v>
      </c>
      <c r="H18" s="45">
        <v>12424.888888888889</v>
      </c>
    </row>
    <row r="19" spans="2:8" ht="49" thickBot="1" x14ac:dyDescent="0.25">
      <c r="B19" s="46" t="s">
        <v>150</v>
      </c>
      <c r="C19" s="48" t="s">
        <v>151</v>
      </c>
      <c r="D19" s="46">
        <v>500.00000000000091</v>
      </c>
      <c r="E19" s="46">
        <v>-4.666666666666669E-2</v>
      </c>
      <c r="F19" s="46">
        <v>500</v>
      </c>
      <c r="G19" s="46">
        <v>4720</v>
      </c>
      <c r="H19" s="46">
        <v>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0"/>
  <sheetViews>
    <sheetView tabSelected="1" topLeftCell="A19" workbookViewId="0">
      <selection activeCell="F6" sqref="F6"/>
    </sheetView>
  </sheetViews>
  <sheetFormatPr baseColWidth="10" defaultRowHeight="15" x14ac:dyDescent="0.2"/>
  <cols>
    <col min="1" max="1" width="38" customWidth="1"/>
  </cols>
  <sheetData>
    <row r="1" spans="1:5" x14ac:dyDescent="0.2">
      <c r="A1" t="s">
        <v>23</v>
      </c>
    </row>
    <row r="4" spans="1:5" x14ac:dyDescent="0.2">
      <c r="B4" t="s">
        <v>172</v>
      </c>
      <c r="C4" t="s">
        <v>173</v>
      </c>
      <c r="D4" t="s">
        <v>174</v>
      </c>
    </row>
    <row r="5" spans="1:5" x14ac:dyDescent="0.2">
      <c r="A5" t="s">
        <v>175</v>
      </c>
      <c r="B5">
        <v>3.65</v>
      </c>
      <c r="C5">
        <v>3.9</v>
      </c>
      <c r="D5">
        <v>3.3</v>
      </c>
    </row>
    <row r="6" spans="1:5" x14ac:dyDescent="0.2">
      <c r="A6" t="s">
        <v>176</v>
      </c>
      <c r="B6">
        <v>1.83</v>
      </c>
      <c r="C6">
        <v>2.1</v>
      </c>
      <c r="D6">
        <v>1.62</v>
      </c>
    </row>
    <row r="7" spans="1:5" x14ac:dyDescent="0.2">
      <c r="A7" t="s">
        <v>177</v>
      </c>
      <c r="B7">
        <f>B5-B6</f>
        <v>1.82</v>
      </c>
      <c r="C7">
        <f>C5-C6</f>
        <v>1.8</v>
      </c>
      <c r="D7">
        <f>D5-D6</f>
        <v>1.68</v>
      </c>
    </row>
    <row r="8" spans="1:5" x14ac:dyDescent="0.2">
      <c r="A8" t="s">
        <v>178</v>
      </c>
      <c r="B8">
        <v>0.08</v>
      </c>
      <c r="C8">
        <v>0.12</v>
      </c>
      <c r="D8">
        <v>0.06</v>
      </c>
    </row>
    <row r="9" spans="1:5" x14ac:dyDescent="0.2">
      <c r="A9" t="s">
        <v>179</v>
      </c>
      <c r="B9">
        <v>0.1</v>
      </c>
      <c r="C9">
        <v>0.14000000000000001</v>
      </c>
      <c r="D9">
        <v>0.09</v>
      </c>
    </row>
    <row r="10" spans="1:5" x14ac:dyDescent="0.2">
      <c r="A10" t="s">
        <v>180</v>
      </c>
      <c r="B10">
        <v>0.22</v>
      </c>
      <c r="C10">
        <v>0.18</v>
      </c>
      <c r="D10">
        <v>0.25</v>
      </c>
    </row>
    <row r="12" spans="1:5" x14ac:dyDescent="0.2">
      <c r="A12" t="s">
        <v>181</v>
      </c>
    </row>
    <row r="13" spans="1:5" x14ac:dyDescent="0.2">
      <c r="A13" t="s">
        <v>119</v>
      </c>
      <c r="B13" t="s">
        <v>182</v>
      </c>
      <c r="C13" t="s">
        <v>183</v>
      </c>
      <c r="D13" t="s">
        <v>184</v>
      </c>
      <c r="E13" t="s">
        <v>185</v>
      </c>
    </row>
    <row r="18" spans="1:5" x14ac:dyDescent="0.2">
      <c r="A18" t="s">
        <v>186</v>
      </c>
      <c r="B18">
        <f>B8*B24+C8*C24+D8*D24</f>
        <v>414.66666666666669</v>
      </c>
      <c r="C18" t="s">
        <v>187</v>
      </c>
      <c r="D18">
        <v>480</v>
      </c>
      <c r="E18">
        <f>D18-B18</f>
        <v>65.333333333333314</v>
      </c>
    </row>
    <row r="19" spans="1:5" x14ac:dyDescent="0.2">
      <c r="A19" t="s">
        <v>188</v>
      </c>
      <c r="B19">
        <f>B9*B24+C9*C24+D9*D24</f>
        <v>600</v>
      </c>
      <c r="C19" t="s">
        <v>187</v>
      </c>
      <c r="D19">
        <v>600</v>
      </c>
      <c r="E19">
        <f>D19-B19</f>
        <v>0</v>
      </c>
    </row>
    <row r="20" spans="1:5" x14ac:dyDescent="0.2">
      <c r="A20" t="s">
        <v>189</v>
      </c>
      <c r="B20">
        <f>B10*B24+C10*C24+D10*D24</f>
        <v>1575.1111111111113</v>
      </c>
      <c r="C20" t="s">
        <v>187</v>
      </c>
      <c r="D20">
        <v>14000</v>
      </c>
      <c r="E20">
        <f>D20-B20</f>
        <v>12424.888888888889</v>
      </c>
    </row>
    <row r="21" spans="1:5" x14ac:dyDescent="0.2">
      <c r="A21" t="s">
        <v>190</v>
      </c>
      <c r="B21">
        <f>B24</f>
        <v>500</v>
      </c>
      <c r="C21" t="s">
        <v>191</v>
      </c>
      <c r="D21">
        <v>500</v>
      </c>
      <c r="E21">
        <f>B21-D21</f>
        <v>0</v>
      </c>
    </row>
    <row r="22" spans="1:5" x14ac:dyDescent="0.2">
      <c r="A22" t="s">
        <v>192</v>
      </c>
      <c r="B22">
        <f>C24</f>
        <v>300</v>
      </c>
      <c r="C22" t="s">
        <v>191</v>
      </c>
      <c r="D22">
        <v>300</v>
      </c>
      <c r="E22">
        <f>B22-D22</f>
        <v>0</v>
      </c>
    </row>
    <row r="23" spans="1:5" x14ac:dyDescent="0.2">
      <c r="A23" t="s">
        <v>193</v>
      </c>
      <c r="B23">
        <f>D24</f>
        <v>5644.4444444444443</v>
      </c>
      <c r="C23" t="s">
        <v>191</v>
      </c>
      <c r="D23">
        <v>400</v>
      </c>
      <c r="E23">
        <f>B23-D23</f>
        <v>5244.4444444444443</v>
      </c>
    </row>
    <row r="24" spans="1:5" x14ac:dyDescent="0.2">
      <c r="A24" t="s">
        <v>194</v>
      </c>
      <c r="B24">
        <v>500</v>
      </c>
      <c r="C24">
        <v>300</v>
      </c>
      <c r="D24">
        <v>5644.4444444444443</v>
      </c>
    </row>
    <row r="25" spans="1:5" x14ac:dyDescent="0.2">
      <c r="A25" t="s">
        <v>195</v>
      </c>
    </row>
    <row r="28" spans="1:5" x14ac:dyDescent="0.2">
      <c r="A28" t="s">
        <v>196</v>
      </c>
      <c r="D28">
        <f>B7*B24+C7*C24+D7*D24</f>
        <v>10932.666666666666</v>
      </c>
    </row>
    <row r="30" spans="1:5" x14ac:dyDescent="0.2">
      <c r="A3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Raw Data</vt:lpstr>
      <vt:lpstr>Break-Even</vt:lpstr>
      <vt:lpstr>Regression_output</vt:lpstr>
      <vt:lpstr>Regression</vt:lpstr>
      <vt:lpstr>Forecasting</vt:lpstr>
      <vt:lpstr>Sensitivity Report </vt:lpstr>
      <vt:lpstr>LP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ALJOHARAH  ABDULMOHSIN  ABDULRAHMAN  ALASHEIKH</cp:lastModifiedBy>
  <cp:revision>2</cp:revision>
  <dcterms:created xsi:type="dcterms:W3CDTF">2026-04-14T17:32:09Z</dcterms:created>
  <dcterms:modified xsi:type="dcterms:W3CDTF">2026-04-24T22:24:37Z</dcterms:modified>
  <dc:language>en-US</dc:language>
</cp:coreProperties>
</file>